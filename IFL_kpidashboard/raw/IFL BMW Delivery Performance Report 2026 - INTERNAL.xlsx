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linfinia.sharepoint.com/sites/IFLINFINIA/Shared Documents/Regional Planning/BMW KPI REPORT/INTERNAL REPORT (NEW - wef April 2026)/"/>
    </mc:Choice>
  </mc:AlternateContent>
  <xr:revisionPtr revIDLastSave="0" documentId="8_{08B73E1B-E9C5-6340-BCC0-0EE88B5E79D5}" xr6:coauthVersionLast="47" xr6:coauthVersionMax="47" xr10:uidLastSave="{00000000-0000-0000-0000-000000000000}"/>
  <bookViews>
    <workbookView xWindow="-108" yWindow="-108" windowWidth="23256" windowHeight="12456" firstSheet="21" activeTab="25" xr2:uid="{22042160-810C-45D8-9131-DC730F4D803C}"/>
  </bookViews>
  <sheets>
    <sheet name="On Deck Timings" sheetId="2" r:id="rId1"/>
    <sheet name="CW14" sheetId="1" r:id="rId2"/>
    <sheet name="On Deck Timings (CW 15)" sheetId="4" r:id="rId3"/>
    <sheet name="CW 15" sheetId="3" r:id="rId4"/>
    <sheet name="On Deck Timings (CW 16)" sheetId="6" r:id="rId5"/>
    <sheet name="CW 16" sheetId="5" r:id="rId6"/>
    <sheet name="On Deck Timings (CW 17)" sheetId="9" r:id="rId7"/>
    <sheet name="CW 17" sheetId="10" r:id="rId8"/>
    <sheet name="On Deck Timings (CW 18)" sheetId="11" r:id="rId9"/>
    <sheet name="CW 18" sheetId="12" r:id="rId10"/>
    <sheet name="On Deck Timings (CW 19)" sheetId="14" r:id="rId11"/>
    <sheet name="CW 19" sheetId="15" r:id="rId12"/>
    <sheet name="On Deck Timings (CW 20)" sheetId="16" r:id="rId13"/>
    <sheet name="CW 20" sheetId="17" r:id="rId14"/>
    <sheet name="On Deck Timings (CW 21)" sheetId="18" r:id="rId15"/>
    <sheet name="CW 21" sheetId="19" r:id="rId16"/>
    <sheet name="On Deck Timings (CW 22)" sheetId="20" r:id="rId17"/>
    <sheet name="CW 22" sheetId="21" r:id="rId18"/>
    <sheet name="On Deck Timings (CW 23)" sheetId="22" r:id="rId19"/>
    <sheet name="CW 23" sheetId="23" r:id="rId20"/>
    <sheet name="On Deck Timings (CW 24)" sheetId="24" r:id="rId21"/>
    <sheet name="CW 24" sheetId="25" r:id="rId22"/>
    <sheet name="On Deck Timings (CW 25)" sheetId="26" r:id="rId23"/>
    <sheet name="CW 25" sheetId="27" r:id="rId24"/>
    <sheet name="On Deck Timings (CW 26)" sheetId="28" r:id="rId25"/>
    <sheet name="CW 26" sheetId="29" r:id="rId26"/>
    <sheet name="HUHaul Scanner's Update" sheetId="13" r:id="rId27"/>
    <sheet name="KPI Report" sheetId="8" r:id="rId28"/>
  </sheets>
  <definedNames>
    <definedName name="_xlnm._FilterDatabase" localSheetId="26" hidden="1">'HUHaul Scanner''s Update'!$A$1:$H$22</definedName>
    <definedName name="_xlnm._FilterDatabase" localSheetId="12" hidden="1">'On Deck Timings (CW 20)'!$A$3:$H$12</definedName>
    <definedName name="_xlnm._FilterDatabase" localSheetId="14" hidden="1">'On Deck Timings (CW 21)'!$A$3:$H$14</definedName>
    <definedName name="_xlnm._FilterDatabase" localSheetId="16" hidden="1">'On Deck Timings (CW 22)'!$A$3:$H$14</definedName>
    <definedName name="_xlnm._FilterDatabase" localSheetId="18" hidden="1">'On Deck Timings (CW 23)'!$A$3:$H$14</definedName>
    <definedName name="_xlnm._FilterDatabase" localSheetId="20" hidden="1">'On Deck Timings (CW 24)'!$A$3:$H$45</definedName>
    <definedName name="_xlnm._FilterDatabase" localSheetId="22" hidden="1">'On Deck Timings (CW 25)'!$A$3:$H$46</definedName>
    <definedName name="_xlnm._FilterDatabase" localSheetId="24" hidden="1">'On Deck Timings (CW 26)'!$A$3:$H$49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3" l="1"/>
  <c r="B55" i="13"/>
  <c r="B54" i="13"/>
  <c r="B53" i="13"/>
  <c r="B52" i="13"/>
  <c r="B51" i="13"/>
  <c r="B50" i="13"/>
  <c r="B49" i="13"/>
  <c r="B48" i="13"/>
  <c r="B47" i="13"/>
  <c r="B46" i="13"/>
  <c r="B45" i="13"/>
  <c r="B44" i="13"/>
  <c r="B42" i="13"/>
  <c r="B131" i="29"/>
  <c r="C131" i="29"/>
  <c r="D131" i="29"/>
  <c r="E131" i="29"/>
  <c r="F131" i="29"/>
  <c r="G131" i="29"/>
  <c r="H131" i="29"/>
  <c r="I131" i="29"/>
  <c r="K131" i="29"/>
  <c r="K132" i="29"/>
  <c r="K133" i="29"/>
  <c r="B109" i="29"/>
  <c r="M109" i="29"/>
  <c r="C109" i="29"/>
  <c r="D109" i="29"/>
  <c r="E109" i="29"/>
  <c r="F109" i="29"/>
  <c r="G109" i="29"/>
  <c r="H109" i="29"/>
  <c r="I109" i="29"/>
  <c r="J109" i="29"/>
  <c r="K109" i="29"/>
  <c r="M110" i="29"/>
  <c r="M111" i="29"/>
  <c r="B88" i="29"/>
  <c r="C88" i="29"/>
  <c r="D88" i="29"/>
  <c r="E88" i="29"/>
  <c r="F88" i="29"/>
  <c r="G88" i="29"/>
  <c r="H88" i="29"/>
  <c r="I88" i="29"/>
  <c r="J88" i="29"/>
  <c r="K88" i="29"/>
  <c r="M88" i="29"/>
  <c r="M89" i="29"/>
  <c r="M90" i="29"/>
  <c r="B66" i="29"/>
  <c r="C66" i="29"/>
  <c r="D66" i="29"/>
  <c r="E66" i="29"/>
  <c r="F66" i="29"/>
  <c r="G66" i="29"/>
  <c r="I66" i="29"/>
  <c r="I67" i="29"/>
  <c r="I68" i="29"/>
  <c r="B44" i="29"/>
  <c r="E44" i="29"/>
  <c r="C44" i="29"/>
  <c r="D44" i="29"/>
  <c r="E45" i="29"/>
  <c r="E46" i="29"/>
  <c r="B22" i="29"/>
  <c r="L22" i="29"/>
  <c r="C22" i="29"/>
  <c r="D22" i="29"/>
  <c r="E22" i="29"/>
  <c r="F22" i="29"/>
  <c r="G22" i="29"/>
  <c r="H22" i="29"/>
  <c r="I22" i="29"/>
  <c r="J22" i="29"/>
  <c r="K22" i="29"/>
  <c r="L23" i="29"/>
  <c r="L24" i="29"/>
  <c r="C52" i="28"/>
  <c r="C53" i="28"/>
  <c r="B131" i="27"/>
  <c r="C131" i="27"/>
  <c r="D131" i="27"/>
  <c r="E131" i="27"/>
  <c r="F131" i="27"/>
  <c r="G131" i="27"/>
  <c r="H131" i="27"/>
  <c r="I131" i="27"/>
  <c r="K132" i="27"/>
  <c r="K133" i="27"/>
  <c r="B109" i="27"/>
  <c r="C109" i="27"/>
  <c r="D109" i="27"/>
  <c r="E109" i="27"/>
  <c r="F109" i="27"/>
  <c r="G109" i="27"/>
  <c r="H109" i="27"/>
  <c r="I109" i="27"/>
  <c r="J109" i="27"/>
  <c r="K109" i="27"/>
  <c r="M110" i="27"/>
  <c r="M111" i="27"/>
  <c r="B88" i="27"/>
  <c r="C88" i="27"/>
  <c r="D88" i="27"/>
  <c r="E88" i="27"/>
  <c r="F88" i="27"/>
  <c r="G88" i="27"/>
  <c r="H88" i="27"/>
  <c r="I88" i="27"/>
  <c r="J88" i="27"/>
  <c r="K88" i="27"/>
  <c r="M89" i="27"/>
  <c r="M90" i="27"/>
  <c r="B66" i="27"/>
  <c r="C66" i="27"/>
  <c r="D66" i="27"/>
  <c r="E66" i="27"/>
  <c r="F66" i="27"/>
  <c r="G66" i="27"/>
  <c r="I67" i="27"/>
  <c r="I68" i="27"/>
  <c r="B44" i="27"/>
  <c r="C44" i="27"/>
  <c r="D44" i="27"/>
  <c r="E44" i="27"/>
  <c r="E45" i="27"/>
  <c r="E46" i="27"/>
  <c r="B22" i="27"/>
  <c r="C22" i="27"/>
  <c r="D22" i="27"/>
  <c r="E22" i="27"/>
  <c r="F22" i="27"/>
  <c r="G22" i="27"/>
  <c r="H22" i="27"/>
  <c r="I22" i="27"/>
  <c r="J22" i="27"/>
  <c r="K22" i="27"/>
  <c r="L23" i="27"/>
  <c r="L24" i="27"/>
  <c r="C49" i="26"/>
  <c r="C50" i="26"/>
  <c r="L15" i="8"/>
  <c r="B22" i="25"/>
  <c r="C22" i="25"/>
  <c r="D22" i="25"/>
  <c r="E22" i="25"/>
  <c r="F22" i="25"/>
  <c r="G22" i="25"/>
  <c r="H22" i="25"/>
  <c r="I22" i="25"/>
  <c r="J22" i="25"/>
  <c r="K22" i="25"/>
  <c r="K133" i="25"/>
  <c r="K132" i="25"/>
  <c r="I131" i="25"/>
  <c r="H131" i="25"/>
  <c r="G131" i="25"/>
  <c r="F131" i="25"/>
  <c r="E131" i="25"/>
  <c r="D131" i="25"/>
  <c r="C131" i="25"/>
  <c r="B131" i="25"/>
  <c r="K131" i="25"/>
  <c r="M111" i="25"/>
  <c r="M110" i="25"/>
  <c r="K109" i="25"/>
  <c r="J109" i="25"/>
  <c r="I109" i="25"/>
  <c r="H109" i="25"/>
  <c r="G109" i="25"/>
  <c r="F109" i="25"/>
  <c r="E109" i="25"/>
  <c r="D109" i="25"/>
  <c r="C109" i="25"/>
  <c r="B109" i="25"/>
  <c r="M90" i="25"/>
  <c r="M89" i="25"/>
  <c r="K88" i="25"/>
  <c r="J88" i="25"/>
  <c r="I88" i="25"/>
  <c r="H88" i="25"/>
  <c r="G88" i="25"/>
  <c r="F88" i="25"/>
  <c r="E88" i="25"/>
  <c r="D88" i="25"/>
  <c r="C88" i="25"/>
  <c r="B88" i="25"/>
  <c r="I68" i="25"/>
  <c r="I67" i="25"/>
  <c r="G66" i="25"/>
  <c r="F66" i="25"/>
  <c r="E66" i="25"/>
  <c r="D66" i="25"/>
  <c r="C66" i="25"/>
  <c r="B66" i="25"/>
  <c r="E46" i="25"/>
  <c r="E45" i="25"/>
  <c r="D44" i="25"/>
  <c r="C44" i="25"/>
  <c r="B44" i="25"/>
  <c r="L24" i="25"/>
  <c r="L23" i="25"/>
  <c r="C49" i="24"/>
  <c r="C48" i="24"/>
  <c r="K37" i="8"/>
  <c r="K33" i="8"/>
  <c r="I131" i="23"/>
  <c r="H131" i="23"/>
  <c r="G131" i="23"/>
  <c r="F131" i="23"/>
  <c r="E131" i="23"/>
  <c r="D131" i="23"/>
  <c r="C131" i="23"/>
  <c r="B131" i="23"/>
  <c r="K109" i="23"/>
  <c r="J109" i="23"/>
  <c r="I109" i="23"/>
  <c r="H109" i="23"/>
  <c r="G109" i="23"/>
  <c r="F109" i="23"/>
  <c r="E109" i="23"/>
  <c r="D109" i="23"/>
  <c r="C109" i="23"/>
  <c r="B109" i="23"/>
  <c r="K88" i="23"/>
  <c r="J88" i="23"/>
  <c r="I88" i="23"/>
  <c r="H88" i="23"/>
  <c r="G88" i="23"/>
  <c r="F88" i="23"/>
  <c r="E88" i="23"/>
  <c r="D88" i="23"/>
  <c r="C88" i="23"/>
  <c r="B88" i="23"/>
  <c r="G66" i="23"/>
  <c r="F66" i="23"/>
  <c r="E66" i="23"/>
  <c r="D66" i="23"/>
  <c r="C66" i="23"/>
  <c r="B66" i="23"/>
  <c r="K9" i="8"/>
  <c r="O15" i="8"/>
  <c r="N15" i="8"/>
  <c r="M15" i="8"/>
  <c r="K15" i="8"/>
  <c r="D44" i="23"/>
  <c r="C44" i="23"/>
  <c r="B44" i="23"/>
  <c r="L22" i="27"/>
  <c r="I66" i="27"/>
  <c r="M88" i="27"/>
  <c r="M109" i="27"/>
  <c r="K131" i="27"/>
  <c r="I66" i="25"/>
  <c r="M109" i="25"/>
  <c r="M88" i="25"/>
  <c r="E44" i="25"/>
  <c r="L22" i="25"/>
  <c r="O37" i="8"/>
  <c r="N37" i="8"/>
  <c r="L37" i="8"/>
  <c r="O33" i="8"/>
  <c r="N33" i="8"/>
  <c r="M33" i="8"/>
  <c r="L33" i="8"/>
  <c r="O27" i="8"/>
  <c r="N27" i="8"/>
  <c r="M27" i="8"/>
  <c r="L27" i="8"/>
  <c r="K27" i="8"/>
  <c r="O21" i="8"/>
  <c r="N21" i="8"/>
  <c r="M21" i="8"/>
  <c r="L21" i="8"/>
  <c r="K21" i="8"/>
  <c r="K22" i="23"/>
  <c r="J22" i="23"/>
  <c r="I22" i="23"/>
  <c r="H22" i="23"/>
  <c r="G22" i="23"/>
  <c r="F22" i="23"/>
  <c r="E22" i="23"/>
  <c r="D22" i="23"/>
  <c r="C22" i="23"/>
  <c r="B22" i="23"/>
  <c r="N35" i="8"/>
  <c r="N36" i="8"/>
  <c r="N9" i="8"/>
  <c r="K35" i="8"/>
  <c r="L35" i="8"/>
  <c r="M35" i="8"/>
  <c r="O35" i="8"/>
  <c r="K36" i="8"/>
  <c r="L36" i="8"/>
  <c r="M36" i="8"/>
  <c r="M37" i="8"/>
  <c r="O36" i="8"/>
  <c r="L9" i="8"/>
  <c r="M9" i="8"/>
  <c r="O9" i="8"/>
  <c r="J35" i="8"/>
  <c r="J36" i="8"/>
  <c r="J37" i="8"/>
  <c r="J33" i="8"/>
  <c r="J27" i="8"/>
  <c r="J21" i="8"/>
  <c r="J15" i="8"/>
  <c r="J9" i="8"/>
  <c r="M109" i="23"/>
  <c r="M110" i="23"/>
  <c r="M111" i="23"/>
  <c r="K131" i="23"/>
  <c r="K132" i="23"/>
  <c r="K133" i="23"/>
  <c r="M88" i="23"/>
  <c r="M89" i="23"/>
  <c r="M90" i="23"/>
  <c r="I66" i="23"/>
  <c r="I67" i="23"/>
  <c r="I68" i="23"/>
  <c r="E44" i="23"/>
  <c r="E45" i="23"/>
  <c r="E46" i="23"/>
  <c r="L23" i="23"/>
  <c r="L24" i="23"/>
  <c r="C56" i="22"/>
  <c r="C57" i="22"/>
  <c r="K101" i="21"/>
  <c r="K102" i="21"/>
  <c r="K103" i="21"/>
  <c r="M84" i="21"/>
  <c r="M85" i="21"/>
  <c r="M86" i="21"/>
  <c r="M68" i="21"/>
  <c r="M69" i="21"/>
  <c r="M70" i="21"/>
  <c r="I51" i="21"/>
  <c r="I52" i="21"/>
  <c r="I53" i="21"/>
  <c r="E34" i="21"/>
  <c r="E35" i="21"/>
  <c r="E36" i="21"/>
  <c r="L17" i="21"/>
  <c r="L18" i="21"/>
  <c r="L19" i="21"/>
  <c r="C61" i="20"/>
  <c r="C62" i="20"/>
  <c r="I35" i="8"/>
  <c r="I36" i="8"/>
  <c r="I37" i="8"/>
  <c r="I15" i="8"/>
  <c r="I21" i="8"/>
  <c r="I27" i="8"/>
  <c r="I33" i="8"/>
  <c r="I9" i="8"/>
  <c r="B33" i="13"/>
  <c r="B34" i="13"/>
  <c r="B35" i="13"/>
  <c r="B36" i="13"/>
  <c r="B37" i="13"/>
  <c r="B38" i="13"/>
  <c r="B39" i="13"/>
  <c r="B40" i="13"/>
  <c r="B41" i="13"/>
  <c r="B43" i="13"/>
  <c r="J101" i="19"/>
  <c r="J102" i="19"/>
  <c r="J103" i="19"/>
  <c r="L84" i="19"/>
  <c r="L85" i="19"/>
  <c r="L86" i="19"/>
  <c r="L68" i="19"/>
  <c r="L69" i="19"/>
  <c r="L70" i="19"/>
  <c r="H51" i="19"/>
  <c r="H52" i="19"/>
  <c r="H53" i="19"/>
  <c r="E34" i="19"/>
  <c r="E35" i="19"/>
  <c r="E36" i="19"/>
  <c r="K17" i="19"/>
  <c r="K18" i="19"/>
  <c r="K19" i="19"/>
  <c r="C62" i="18"/>
  <c r="C63" i="18"/>
  <c r="H35" i="8"/>
  <c r="H36" i="8"/>
  <c r="H37" i="8"/>
  <c r="H33" i="8"/>
  <c r="H27" i="8"/>
  <c r="H21" i="8"/>
  <c r="H15" i="8"/>
  <c r="H9" i="8"/>
  <c r="B29" i="13"/>
  <c r="B32" i="13"/>
  <c r="B31" i="13"/>
  <c r="B30" i="13"/>
  <c r="J103" i="17"/>
  <c r="J102" i="17"/>
  <c r="J101" i="17"/>
  <c r="L86" i="17"/>
  <c r="L85" i="17"/>
  <c r="L84" i="17"/>
  <c r="L70" i="17"/>
  <c r="L69" i="17"/>
  <c r="L68" i="17"/>
  <c r="H53" i="17"/>
  <c r="H52" i="17"/>
  <c r="H51" i="17"/>
  <c r="E36" i="17"/>
  <c r="E35" i="17"/>
  <c r="E34" i="17"/>
  <c r="K19" i="17"/>
  <c r="K18" i="17"/>
  <c r="K17" i="17"/>
  <c r="C60" i="16"/>
  <c r="C59" i="16"/>
  <c r="B28" i="13"/>
  <c r="B27" i="13"/>
  <c r="J103" i="15"/>
  <c r="J102" i="15"/>
  <c r="J101" i="15"/>
  <c r="L86" i="15"/>
  <c r="L85" i="15"/>
  <c r="L84" i="15"/>
  <c r="L70" i="15"/>
  <c r="L69" i="15"/>
  <c r="L68" i="15"/>
  <c r="H53" i="15"/>
  <c r="H52" i="15"/>
  <c r="H51" i="15"/>
  <c r="E36" i="15"/>
  <c r="E35" i="15"/>
  <c r="E34" i="15"/>
  <c r="K19" i="15"/>
  <c r="K18" i="15"/>
  <c r="K17" i="15"/>
  <c r="C51" i="14"/>
  <c r="C50" i="14"/>
  <c r="B51" i="14"/>
  <c r="G27" i="8"/>
  <c r="G21" i="8"/>
  <c r="G35" i="8"/>
  <c r="G36" i="8"/>
  <c r="F35" i="8"/>
  <c r="G33" i="8"/>
  <c r="G15" i="8"/>
  <c r="G9" i="8"/>
  <c r="B26" i="13"/>
  <c r="B25" i="13"/>
  <c r="L22" i="23"/>
  <c r="G37" i="8"/>
  <c r="F9" i="8"/>
  <c r="E9" i="8"/>
  <c r="B24" i="13"/>
  <c r="B23" i="13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F36" i="8"/>
  <c r="E36" i="8"/>
  <c r="D36" i="8"/>
  <c r="B36" i="8"/>
  <c r="E35" i="8"/>
  <c r="D35" i="8"/>
  <c r="C35" i="8"/>
  <c r="B35" i="8"/>
  <c r="B37" i="8"/>
  <c r="F33" i="8"/>
  <c r="E33" i="8"/>
  <c r="D33" i="8"/>
  <c r="C33" i="8"/>
  <c r="B33" i="8"/>
  <c r="F27" i="8"/>
  <c r="E27" i="8"/>
  <c r="D27" i="8"/>
  <c r="C27" i="8"/>
  <c r="B27" i="8"/>
  <c r="F21" i="8"/>
  <c r="E21" i="8"/>
  <c r="D21" i="8"/>
  <c r="C21" i="8"/>
  <c r="B21" i="8"/>
  <c r="F15" i="8"/>
  <c r="E15" i="8"/>
  <c r="D15" i="8"/>
  <c r="C15" i="8"/>
  <c r="B15" i="8"/>
  <c r="D9" i="8"/>
  <c r="B9" i="8"/>
  <c r="C8" i="8"/>
  <c r="C9" i="8"/>
  <c r="D37" i="8"/>
  <c r="F37" i="8"/>
  <c r="E37" i="8"/>
  <c r="C36" i="8"/>
  <c r="C37" i="8"/>
</calcChain>
</file>

<file path=xl/sharedStrings.xml><?xml version="1.0" encoding="utf-8"?>
<sst xmlns="http://schemas.openxmlformats.org/spreadsheetml/2006/main" count="7146" uniqueCount="2957">
  <si>
    <t>Truck Arrival On-Deck - Weekly Performance</t>
  </si>
  <si>
    <t>Date</t>
  </si>
  <si>
    <t>Shipment Type</t>
  </si>
  <si>
    <t>Truck Number</t>
  </si>
  <si>
    <t>Driver Name</t>
  </si>
  <si>
    <t>On Deck Time</t>
  </si>
  <si>
    <t>Truck Arrival On Deck</t>
  </si>
  <si>
    <t>On time/Late</t>
  </si>
  <si>
    <t>Remarks</t>
  </si>
  <si>
    <t>SGAM</t>
  </si>
  <si>
    <t>JTJ3259</t>
  </si>
  <si>
    <t>1000 hrs</t>
  </si>
  <si>
    <t>1040 hrs</t>
  </si>
  <si>
    <t>Late</t>
  </si>
  <si>
    <t>CZAM</t>
  </si>
  <si>
    <t>VNB3619</t>
  </si>
  <si>
    <t>1300hrs</t>
  </si>
  <si>
    <t>1204hrs</t>
  </si>
  <si>
    <t>On Time</t>
  </si>
  <si>
    <t>JVG7465</t>
  </si>
  <si>
    <t>CZPM</t>
  </si>
  <si>
    <t>1600hrs</t>
  </si>
  <si>
    <t>SGPM</t>
  </si>
  <si>
    <t>VNB3629</t>
  </si>
  <si>
    <t>1700 hrs</t>
  </si>
  <si>
    <t>1519 hrs</t>
  </si>
  <si>
    <t>MY</t>
  </si>
  <si>
    <t>PRL6851</t>
  </si>
  <si>
    <t>1600 hrs</t>
  </si>
  <si>
    <t>VNB3649</t>
  </si>
  <si>
    <t>JYG5219</t>
  </si>
  <si>
    <t>WB6864Q</t>
  </si>
  <si>
    <t>IFL-BMW KPI Delivery Performance Report - FOR INTERNAL USE ONLY</t>
  </si>
  <si>
    <t>Singapore Dealers Deliveries</t>
  </si>
  <si>
    <t>Collection Date</t>
  </si>
  <si>
    <t>Performance Motors (780, 3244)</t>
  </si>
  <si>
    <t>Eurokars Auto (51570)</t>
  </si>
  <si>
    <t>Eurokars Habitat (29902)</t>
  </si>
  <si>
    <t>Eng Soon Auto (53495)</t>
  </si>
  <si>
    <t>Golden Link Auto (53722)</t>
  </si>
  <si>
    <t>BMW Asia (26830)</t>
  </si>
  <si>
    <t>KPI: 1530 hrs</t>
  </si>
  <si>
    <t>KPI: 1545hrs</t>
  </si>
  <si>
    <t>KPI: 1715hrs</t>
  </si>
  <si>
    <t>KPI: 1745hrs</t>
  </si>
  <si>
    <t>KPI: 0900hrs</t>
  </si>
  <si>
    <t>KPI: 2300hrs</t>
  </si>
  <si>
    <t>KPI: 2315hrs</t>
  </si>
  <si>
    <t>30/1518</t>
  </si>
  <si>
    <t>30/1545</t>
  </si>
  <si>
    <t>30/1543</t>
  </si>
  <si>
    <t>30/2142</t>
  </si>
  <si>
    <t>30/2116</t>
  </si>
  <si>
    <t>8260097556, 8260097558, 8260097560</t>
  </si>
  <si>
    <t>8260097557, 8260097559</t>
  </si>
  <si>
    <t>8260097405, 8260097561</t>
  </si>
  <si>
    <t>31/1603</t>
  </si>
  <si>
    <t>31/1547</t>
  </si>
  <si>
    <t>31/1732</t>
  </si>
  <si>
    <t>31/1758</t>
  </si>
  <si>
    <t>31/1040</t>
  </si>
  <si>
    <t>31/2126</t>
  </si>
  <si>
    <t>31/2109</t>
  </si>
  <si>
    <t>8260097629, 8260097628, 8260097630, 8260097624</t>
  </si>
  <si>
    <t>8260097632, 8260097626</t>
  </si>
  <si>
    <t>8260097634, 8260097625</t>
  </si>
  <si>
    <t>8260097633, 8260097627</t>
  </si>
  <si>
    <t>01/1613</t>
  </si>
  <si>
    <t>01/1602</t>
  </si>
  <si>
    <t>01/2151</t>
  </si>
  <si>
    <t>01/2138</t>
  </si>
  <si>
    <t>826007698, 8260097701, 826009702</t>
  </si>
  <si>
    <t>8260097699, 8260097704</t>
  </si>
  <si>
    <t>02/1629</t>
  </si>
  <si>
    <t>02/1702</t>
  </si>
  <si>
    <t>02/1358</t>
  </si>
  <si>
    <t>02/1710</t>
  </si>
  <si>
    <t>02/2033</t>
  </si>
  <si>
    <t>02/2020</t>
  </si>
  <si>
    <t>8260097780, 8260097784</t>
  </si>
  <si>
    <t>8260097776, 8260097783</t>
  </si>
  <si>
    <t>PUBLIC HOLIDAY IN SINGAPORE</t>
  </si>
  <si>
    <t>CZ AM</t>
  </si>
  <si>
    <t>CZ PM</t>
  </si>
  <si>
    <t>LCL / KD</t>
  </si>
  <si>
    <t>VNB3619 / JVG7465</t>
  </si>
  <si>
    <t>30/1823</t>
  </si>
  <si>
    <t>VQ2864</t>
  </si>
  <si>
    <t>31/1945</t>
  </si>
  <si>
    <t>JTR914</t>
  </si>
  <si>
    <t>31/2000</t>
  </si>
  <si>
    <t>WVD4968</t>
  </si>
  <si>
    <t>JVQ7465</t>
  </si>
  <si>
    <t>02/1914</t>
  </si>
  <si>
    <t>02/2113</t>
  </si>
  <si>
    <t>03/1736</t>
  </si>
  <si>
    <t>Southbound/East Coast Dealers Deliveries</t>
  </si>
  <si>
    <t>SDM Skudai (25435)</t>
  </si>
  <si>
    <t>SDM Tebrau (49327, 49328, 49330)</t>
  </si>
  <si>
    <t>Millenium Batu Pahat (41879)</t>
  </si>
  <si>
    <t>Seong Hoe Semabok, MKZ (29479)</t>
  </si>
  <si>
    <t>Millenium Kuantan (43638, 47057)</t>
  </si>
  <si>
    <t>MW Kuala Terrenganu</t>
  </si>
  <si>
    <t>KPI: 0930hrs</t>
  </si>
  <si>
    <t>KPI: 1045hrs</t>
  </si>
  <si>
    <t>KPI: 1230hrs</t>
  </si>
  <si>
    <t>KPI: 1100 hrs</t>
  </si>
  <si>
    <t>KPI: 2100hrs + 1 day</t>
  </si>
  <si>
    <t>31/0931</t>
  </si>
  <si>
    <t>31/0907</t>
  </si>
  <si>
    <t>31/0950</t>
  </si>
  <si>
    <t>31/1003</t>
  </si>
  <si>
    <t>31/0858</t>
  </si>
  <si>
    <t>31/1234</t>
  </si>
  <si>
    <t>8260097590, 8260097597</t>
  </si>
  <si>
    <t>01/0929</t>
  </si>
  <si>
    <t>01/1031</t>
  </si>
  <si>
    <t>01/0157</t>
  </si>
  <si>
    <t>01/1058</t>
  </si>
  <si>
    <t>01/0934</t>
  </si>
  <si>
    <t>01/1108</t>
  </si>
  <si>
    <t>8260097668, 8260097667, 8260097675</t>
  </si>
  <si>
    <t>02/1148</t>
  </si>
  <si>
    <t>02/1125</t>
  </si>
  <si>
    <t>02/1231</t>
  </si>
  <si>
    <t>02/1044</t>
  </si>
  <si>
    <t>02/0938</t>
  </si>
  <si>
    <t>02/1104</t>
  </si>
  <si>
    <t>8260097731, 8260097732, 8260097727</t>
  </si>
  <si>
    <t>03/0953</t>
  </si>
  <si>
    <t>03/0918</t>
  </si>
  <si>
    <t>03/1126</t>
  </si>
  <si>
    <t>03/1144</t>
  </si>
  <si>
    <t>03/0905</t>
  </si>
  <si>
    <t>04/1138</t>
  </si>
  <si>
    <t>8260097814, 8260097816, 8260097818</t>
  </si>
  <si>
    <t>8260097806, 8260097807</t>
  </si>
  <si>
    <t>04/0819</t>
  </si>
  <si>
    <t>04/0847</t>
  </si>
  <si>
    <t>04/0903</t>
  </si>
  <si>
    <t>04/1031</t>
  </si>
  <si>
    <t>04/0848</t>
  </si>
  <si>
    <t>8260097875, 8260097900</t>
  </si>
  <si>
    <t>Central Dealers Deliveries</t>
  </si>
  <si>
    <t>SDM Shah Alam (41630)</t>
  </si>
  <si>
    <t>SDM Damansara (25329, 27303)</t>
  </si>
  <si>
    <t>Chear Shah Alam (36820)</t>
  </si>
  <si>
    <t>Wheelcorp Setia Alam (37479)</t>
  </si>
  <si>
    <t>King Hup Motor Shah Alam (46678)</t>
  </si>
  <si>
    <t>Quill Petaling Jaya (33873)</t>
  </si>
  <si>
    <t>Performance Motors Puchong (53929)</t>
  </si>
  <si>
    <t>BMW Cyberjaya (27095)</t>
  </si>
  <si>
    <t>BMW Cyberjaya RTC (28801)</t>
  </si>
  <si>
    <t>KPI: 0830hrs</t>
  </si>
  <si>
    <t>KPI: 1115hrs</t>
  </si>
  <si>
    <t>KPI: 1200hrs</t>
  </si>
  <si>
    <t>KPI: 1015hrs</t>
  </si>
  <si>
    <t>KPI: 1000hrs</t>
  </si>
  <si>
    <t>31/0706</t>
  </si>
  <si>
    <t>31/0632</t>
  </si>
  <si>
    <t>31/0827</t>
  </si>
  <si>
    <t>31/0853</t>
  </si>
  <si>
    <t>31/0638</t>
  </si>
  <si>
    <t>31/0729</t>
  </si>
  <si>
    <t>8260097603, 8260097609</t>
  </si>
  <si>
    <t>01/0829</t>
  </si>
  <si>
    <t>01/0828</t>
  </si>
  <si>
    <t>01/0928</t>
  </si>
  <si>
    <t>01/1030</t>
  </si>
  <si>
    <t>01/0848</t>
  </si>
  <si>
    <t>01/0633</t>
  </si>
  <si>
    <t>01/0717</t>
  </si>
  <si>
    <t>8260097652, 8260097680</t>
  </si>
  <si>
    <t>02/0636</t>
  </si>
  <si>
    <t>02/0727</t>
  </si>
  <si>
    <t>02/0832</t>
  </si>
  <si>
    <t>02/0826</t>
  </si>
  <si>
    <t>02/0816</t>
  </si>
  <si>
    <t>02/0945</t>
  </si>
  <si>
    <t>8260097733, 8260097749</t>
  </si>
  <si>
    <t>03/0733</t>
  </si>
  <si>
    <t>03/0759</t>
  </si>
  <si>
    <t>03/0920</t>
  </si>
  <si>
    <t>03/0957</t>
  </si>
  <si>
    <t>03/0817</t>
  </si>
  <si>
    <t>03/0545</t>
  </si>
  <si>
    <t>03/0705</t>
  </si>
  <si>
    <t>04/0744</t>
  </si>
  <si>
    <t>8260097829, 8260097827</t>
  </si>
  <si>
    <t>04/0800</t>
  </si>
  <si>
    <t>04/0716</t>
  </si>
  <si>
    <t>04/0835</t>
  </si>
  <si>
    <t>04/0854</t>
  </si>
  <si>
    <t>04/0624</t>
  </si>
  <si>
    <t>04/0654</t>
  </si>
  <si>
    <t>8260097877, 8260097894</t>
  </si>
  <si>
    <t>Performance Motors Damansara (53924)</t>
  </si>
  <si>
    <t>Performance Motor Kepong (53924)</t>
  </si>
  <si>
    <t>Millenium KL, Jln Kuching (50898)</t>
  </si>
  <si>
    <t>Bavarian Auto Parts Segambut (46677)</t>
  </si>
  <si>
    <t>Auto Bavaria Jln Tun Razak (35782)</t>
  </si>
  <si>
    <t>SDM KL- CSL (49902)</t>
  </si>
  <si>
    <t>SDM AB Balakong (27304)</t>
  </si>
  <si>
    <t>Millenium Seremban (39488, 46274)</t>
  </si>
  <si>
    <t>Wheelcorp Klang (50214)</t>
  </si>
  <si>
    <t>KPI: 0945hrs</t>
  </si>
  <si>
    <t>KPI: 1100hrs</t>
  </si>
  <si>
    <t>KPI: 1130hrs</t>
  </si>
  <si>
    <t>KPI: 1030hrs</t>
  </si>
  <si>
    <t>KPI: 1400hrs</t>
  </si>
  <si>
    <t>31/0650</t>
  </si>
  <si>
    <t>31/0726</t>
  </si>
  <si>
    <t>31/1023</t>
  </si>
  <si>
    <t>31/0633</t>
  </si>
  <si>
    <t>31/0654</t>
  </si>
  <si>
    <t>31/0828</t>
  </si>
  <si>
    <t>31/0724</t>
  </si>
  <si>
    <t>8260097580, 8260097607</t>
  </si>
  <si>
    <t>01/0915</t>
  </si>
  <si>
    <t>01/1017</t>
  </si>
  <si>
    <t>01/1036</t>
  </si>
  <si>
    <t>01/0627</t>
  </si>
  <si>
    <t>01/0840</t>
  </si>
  <si>
    <t>01/0910</t>
  </si>
  <si>
    <t>01/0722</t>
  </si>
  <si>
    <t>8260097674, 8260097684</t>
  </si>
  <si>
    <t>02/0615</t>
  </si>
  <si>
    <t>02/0549</t>
  </si>
  <si>
    <t>02/0642</t>
  </si>
  <si>
    <t>02/1025</t>
  </si>
  <si>
    <t>02/0621</t>
  </si>
  <si>
    <t>02/0819</t>
  </si>
  <si>
    <t>02/0926</t>
  </si>
  <si>
    <t>02/0748</t>
  </si>
  <si>
    <t>8260097728, 8260097737</t>
  </si>
  <si>
    <t>03/0621</t>
  </si>
  <si>
    <t>03/0647</t>
  </si>
  <si>
    <t>03/0739</t>
  </si>
  <si>
    <t>03/0835</t>
  </si>
  <si>
    <t>03/0619</t>
  </si>
  <si>
    <t>03/0814</t>
  </si>
  <si>
    <t>03/0858</t>
  </si>
  <si>
    <t>03/0932</t>
  </si>
  <si>
    <t>8260097832, 8260097815</t>
  </si>
  <si>
    <t>04/0730</t>
  </si>
  <si>
    <t>04/0758</t>
  </si>
  <si>
    <t>04/0827</t>
  </si>
  <si>
    <t>04/0900</t>
  </si>
  <si>
    <t>04/0704</t>
  </si>
  <si>
    <t>04/0815</t>
  </si>
  <si>
    <t>04/0856</t>
  </si>
  <si>
    <t>8260097880, 8260097902</t>
  </si>
  <si>
    <t>Northern Dealers Deliveries</t>
  </si>
  <si>
    <t>Tian Siang Ipoh (30484,39339)</t>
  </si>
  <si>
    <t>Tian Siang Prai (35787)</t>
  </si>
  <si>
    <t>SDM Penang, Jln Anson (27306)</t>
  </si>
  <si>
    <t>SDM Sungai Tgh, Penang (27307)</t>
  </si>
  <si>
    <t>SDM AB Sg Pinang(49903)</t>
  </si>
  <si>
    <t>SDM AB Penang (52292)</t>
  </si>
  <si>
    <t>Lee Motor Alor Setar (27240)</t>
  </si>
  <si>
    <t>El Chong Seberang Prai (49770)</t>
  </si>
  <si>
    <t>KPI: 1430hrs</t>
  </si>
  <si>
    <t>KPI: 1500hrs</t>
  </si>
  <si>
    <t>KPI: 1600hrs</t>
  </si>
  <si>
    <t>KPI: 1630hrs</t>
  </si>
  <si>
    <t>KPI: 1700hrs</t>
  </si>
  <si>
    <t>31/0919</t>
  </si>
  <si>
    <t>31/0947</t>
  </si>
  <si>
    <t>31/1244</t>
  </si>
  <si>
    <t>31/1214</t>
  </si>
  <si>
    <t>31/1228</t>
  </si>
  <si>
    <t>31/1349</t>
  </si>
  <si>
    <t>01/0907</t>
  </si>
  <si>
    <t>01/1105</t>
  </si>
  <si>
    <t>01/1149</t>
  </si>
  <si>
    <t>01/1150</t>
  </si>
  <si>
    <t>01/1114</t>
  </si>
  <si>
    <t>01/1127</t>
  </si>
  <si>
    <t>01/1319</t>
  </si>
  <si>
    <t>8260097666, 8260097681</t>
  </si>
  <si>
    <t>02/0923</t>
  </si>
  <si>
    <t>02/1046</t>
  </si>
  <si>
    <t>02/1052</t>
  </si>
  <si>
    <t>02/1038</t>
  </si>
  <si>
    <t>02/1030</t>
  </si>
  <si>
    <t>02/1448</t>
  </si>
  <si>
    <t>8260097752, 8260097758</t>
  </si>
  <si>
    <t>03/0924</t>
  </si>
  <si>
    <t>03/1159</t>
  </si>
  <si>
    <t>03/1057</t>
  </si>
  <si>
    <t>03/1001</t>
  </si>
  <si>
    <t>03/1025</t>
  </si>
  <si>
    <t>03/1431</t>
  </si>
  <si>
    <t>8260097811, 8260097817</t>
  </si>
  <si>
    <t>04/0858</t>
  </si>
  <si>
    <t>04/1123</t>
  </si>
  <si>
    <t>04/1406</t>
  </si>
  <si>
    <t>04/1331</t>
  </si>
  <si>
    <t>04/1347</t>
  </si>
  <si>
    <t>04/0844</t>
  </si>
  <si>
    <t>8260097879, 8260097888</t>
  </si>
  <si>
    <t>JVG 7465</t>
  </si>
  <si>
    <t>SAZALI / SANI</t>
  </si>
  <si>
    <t>NDG 6847</t>
  </si>
  <si>
    <t>VICKY / ISWARAN</t>
  </si>
  <si>
    <t>VNB 3629</t>
  </si>
  <si>
    <t>KHAIR</t>
  </si>
  <si>
    <t>PRL 6850</t>
  </si>
  <si>
    <t>MD SHAH</t>
  </si>
  <si>
    <t>JYS 3423</t>
  </si>
  <si>
    <t>WAN</t>
  </si>
  <si>
    <t>JVT 2593</t>
  </si>
  <si>
    <t>SHAHRIZAL</t>
  </si>
  <si>
    <t>WB 6864Q</t>
  </si>
  <si>
    <t>DIN</t>
  </si>
  <si>
    <t>SG AM</t>
  </si>
  <si>
    <t>JSR 6731</t>
  </si>
  <si>
    <t>ALIP / ACAP</t>
  </si>
  <si>
    <t>VR 3460</t>
  </si>
  <si>
    <t>WAN / DANIEL</t>
  </si>
  <si>
    <t>JTJ 3259</t>
  </si>
  <si>
    <t>ISMAIL</t>
  </si>
  <si>
    <t>SAZALI</t>
  </si>
  <si>
    <t>VNB 3649</t>
  </si>
  <si>
    <t>SABRI</t>
  </si>
  <si>
    <t xml:space="preserve">VICKY </t>
  </si>
  <si>
    <t>VNB 3619</t>
  </si>
  <si>
    <t>JVQ 7126</t>
  </si>
  <si>
    <t>JRJ 9242</t>
  </si>
  <si>
    <t>ISMA</t>
  </si>
  <si>
    <t>HAFIZAN</t>
  </si>
  <si>
    <t>VICKY</t>
  </si>
  <si>
    <t>JUS 6084</t>
  </si>
  <si>
    <t>TARMIZI / ACAP</t>
  </si>
  <si>
    <t>VQ 2864</t>
  </si>
  <si>
    <t>BLACK / SANI</t>
  </si>
  <si>
    <t>PRL 6851</t>
  </si>
  <si>
    <t>FARIZAL / DANIEL</t>
  </si>
  <si>
    <t xml:space="preserve">KHAIR </t>
  </si>
  <si>
    <t xml:space="preserve">SHAHRIZAL </t>
  </si>
  <si>
    <t>06/1653</t>
  </si>
  <si>
    <t>06/1718</t>
  </si>
  <si>
    <t>06/2134</t>
  </si>
  <si>
    <t>06/2156</t>
  </si>
  <si>
    <t>06/2158</t>
  </si>
  <si>
    <t xml:space="preserve">TRAFFIC CONGESTION AT SECONDLINK HIGHWAYS TOWARDS KSAB DUE TO AKPS PROCEDURE LED TO BUILD UP LONG QUEUE FOR CUSTOM CLEARANCE PROCESS. ONLY ONE SCANNER USED AND ONE TRUCK TOOK 5 MINS FOR THE PROCESS TO BE DONE. </t>
  </si>
  <si>
    <t>8260097849, 8260097911, 8260097913</t>
  </si>
  <si>
    <t>8260097909, 8260097910, 8260097850</t>
  </si>
  <si>
    <t>07/1619</t>
  </si>
  <si>
    <t>07/1659</t>
  </si>
  <si>
    <t>07/1616</t>
  </si>
  <si>
    <t>07/1727</t>
  </si>
  <si>
    <t>07/2102</t>
  </si>
  <si>
    <t>07/2127</t>
  </si>
  <si>
    <t>07/2123</t>
  </si>
  <si>
    <t>8260097971, 8260097976, 8260097978</t>
  </si>
  <si>
    <t>8260097974, 8260097975</t>
  </si>
  <si>
    <t>8260097972, 8260097980</t>
  </si>
  <si>
    <t>8260097973, 8260097977</t>
  </si>
  <si>
    <t>08/1632</t>
  </si>
  <si>
    <t>08/1653</t>
  </si>
  <si>
    <t>08/1652</t>
  </si>
  <si>
    <t>08/2134</t>
  </si>
  <si>
    <t>08/2124</t>
  </si>
  <si>
    <t>TRAFFIC CONGESTION AT BOTH CHECKPOINTS IS DUE TO AKPS PROCEDURES AT KSAB AND OVERALL CHECKS CONDUCTED BY ICA FOLLOWING A REPORTED CIGARETTE SMUGGLING CASE INTO SINGAPORE.</t>
  </si>
  <si>
    <t>8260097970, 8260098046, 8260098050, 8260098050</t>
  </si>
  <si>
    <t>8260098047, 8260098049</t>
  </si>
  <si>
    <t>09/1627</t>
  </si>
  <si>
    <t>09/1657</t>
  </si>
  <si>
    <t>09/1658</t>
  </si>
  <si>
    <t>09/1501</t>
  </si>
  <si>
    <t>09/1554</t>
  </si>
  <si>
    <t>09/2132</t>
  </si>
  <si>
    <t>09/2201</t>
  </si>
  <si>
    <t>09/2207</t>
  </si>
  <si>
    <t>TRAFFIC CONGESTION AT SECONDLINK BRIDGE TOWARDS TUAS CHECKPOINT IS DUE TO RECENT SMUGGLING CASES. ICA IS CONDUCTING THOROUGH CHECKS ON ALL TRUCKS ENTERING SG.</t>
  </si>
  <si>
    <t>8260098045, 8260098116, 8260098125, 8260098127</t>
  </si>
  <si>
    <t>8260098048, 8260098118, 8260098124</t>
  </si>
  <si>
    <t>8260098117, 8260098123</t>
  </si>
  <si>
    <t>CZ AM (2000 hrs)</t>
  </si>
  <si>
    <t>KPI: 2000 hrs</t>
  </si>
  <si>
    <t>KPI: 2300 hrs</t>
  </si>
  <si>
    <t>KPI: 1200 hrs</t>
  </si>
  <si>
    <t>06/1810</t>
  </si>
  <si>
    <t>8260097917, 8260097918, 8260097919, 8260097920, 8260097921, 8260097770, 8260097771, 8260097775, 8260097772, 8260097773, 8260097774, 8260097777</t>
  </si>
  <si>
    <t>07/1810</t>
  </si>
  <si>
    <t>8260097982, 8260097983, 8260097840, 8260097792</t>
  </si>
  <si>
    <t>08/2128</t>
  </si>
  <si>
    <t>8260098055, 8260098056, 8260098057, 8260098058, 8260098061</t>
  </si>
  <si>
    <t>09/2000</t>
  </si>
  <si>
    <t>09/2149</t>
  </si>
  <si>
    <t>8260098054, 8260098131, 8260098132</t>
  </si>
  <si>
    <t>8260098182, 8260098183</t>
  </si>
  <si>
    <t>10/1937</t>
  </si>
  <si>
    <t>10/2232</t>
  </si>
  <si>
    <t>07/0940</t>
  </si>
  <si>
    <t>07/0955</t>
  </si>
  <si>
    <t>07/0855</t>
  </si>
  <si>
    <t>07/0935</t>
  </si>
  <si>
    <t>07/0854</t>
  </si>
  <si>
    <t>07/1223</t>
  </si>
  <si>
    <t>LATE DELIVERY TO 25435. DIESEL &amp;TRAFFIC CONGESTION TOWARDS DEALER.</t>
  </si>
  <si>
    <t>8260097938, 8260097946, 8260097957</t>
  </si>
  <si>
    <t>8260097935, 8260097936</t>
  </si>
  <si>
    <t>08/1040</t>
  </si>
  <si>
    <t>08/1035</t>
  </si>
  <si>
    <t>08/0125</t>
  </si>
  <si>
    <t>08/0948</t>
  </si>
  <si>
    <t>08/0940</t>
  </si>
  <si>
    <t>08/0916</t>
  </si>
  <si>
    <t>8260098005
8260098009
8260098020</t>
  </si>
  <si>
    <t xml:space="preserve">8260098010
8260098025
</t>
  </si>
  <si>
    <t>09/0915</t>
  </si>
  <si>
    <t>09/0935</t>
  </si>
  <si>
    <t>09/0913</t>
  </si>
  <si>
    <t>09/1221</t>
  </si>
  <si>
    <t>09/0930</t>
  </si>
  <si>
    <t>09/1031</t>
  </si>
  <si>
    <t>8260098082
8260098083
8260098088</t>
  </si>
  <si>
    <t>8260098080
8260098090</t>
  </si>
  <si>
    <t>10/0851</t>
  </si>
  <si>
    <t>10/0930</t>
  </si>
  <si>
    <t>10/1252</t>
  </si>
  <si>
    <t>10/0732</t>
  </si>
  <si>
    <t>11/1100</t>
  </si>
  <si>
    <t>8260098155
8260098178
8260098152</t>
  </si>
  <si>
    <t>11/0928</t>
  </si>
  <si>
    <t>11/1000</t>
  </si>
  <si>
    <t>11/1035</t>
  </si>
  <si>
    <t>11/0952</t>
  </si>
  <si>
    <t>11/0840</t>
  </si>
  <si>
    <t>8260098216
8260098217
8260098225</t>
  </si>
  <si>
    <t>07/0827</t>
  </si>
  <si>
    <t>07/0752</t>
  </si>
  <si>
    <t>07/0848</t>
  </si>
  <si>
    <t>07/1153</t>
  </si>
  <si>
    <t>07/1021</t>
  </si>
  <si>
    <t>07/0606</t>
  </si>
  <si>
    <t>07/0646</t>
  </si>
  <si>
    <t>07/0721</t>
  </si>
  <si>
    <t>LATE DELIVERY TO DEALER (46678) BECAUSE DRIVER GO TO WRONG ADDRESS.</t>
  </si>
  <si>
    <t>8260097950, 8260097960</t>
  </si>
  <si>
    <t>08/0726</t>
  </si>
  <si>
    <t>08/0745</t>
  </si>
  <si>
    <t>08/0913</t>
  </si>
  <si>
    <t>08/1026</t>
  </si>
  <si>
    <t>08/0804</t>
  </si>
  <si>
    <t>08/0753</t>
  </si>
  <si>
    <t>08/0932</t>
  </si>
  <si>
    <t>LATE DELIVERY TO DEALER (53929) DUE TO HEAVY TRAFFIC AT LDP NEAR SUBANG.</t>
  </si>
  <si>
    <t>8260098012 8260098026</t>
  </si>
  <si>
    <t>09/0632</t>
  </si>
  <si>
    <t>09/0742</t>
  </si>
  <si>
    <t>09/0835</t>
  </si>
  <si>
    <t>09/0851</t>
  </si>
  <si>
    <t>09/0853</t>
  </si>
  <si>
    <t>09/0639</t>
  </si>
  <si>
    <t>09/0708</t>
  </si>
  <si>
    <t>8260098103 8260098073</t>
  </si>
  <si>
    <t>10/0810</t>
  </si>
  <si>
    <t>10/0805</t>
  </si>
  <si>
    <t>10/0738</t>
  </si>
  <si>
    <t>10/0856</t>
  </si>
  <si>
    <t>10/0633</t>
  </si>
  <si>
    <t>10/0659</t>
  </si>
  <si>
    <t>8260098176 8260098160</t>
  </si>
  <si>
    <t>11/0812</t>
  </si>
  <si>
    <t>11/0544</t>
  </si>
  <si>
    <t>11/0953</t>
  </si>
  <si>
    <t>11/0912</t>
  </si>
  <si>
    <t>11/0453</t>
  </si>
  <si>
    <t>8260098230 8260098243</t>
  </si>
  <si>
    <t>Performance Motor Kepong (53931)</t>
  </si>
  <si>
    <t>07/0329</t>
  </si>
  <si>
    <t>07/0357</t>
  </si>
  <si>
    <t>07/0818</t>
  </si>
  <si>
    <t>07/1033</t>
  </si>
  <si>
    <t>07/0619</t>
  </si>
  <si>
    <t>07/0831</t>
  </si>
  <si>
    <t>07/0907</t>
  </si>
  <si>
    <t>07/1345</t>
  </si>
  <si>
    <t xml:space="preserve">LATE DELIVERY TO DEALER (39488,46274) BECAUSE ORIGINAL DRIVER STUCK AT KLIA  DUE TO CUSTOM CLEARANCE. </t>
  </si>
  <si>
    <t>8260097934, 8260097958</t>
  </si>
  <si>
    <t>08/0615</t>
  </si>
  <si>
    <t>08/0643</t>
  </si>
  <si>
    <t>08/0741</t>
  </si>
  <si>
    <t>08/0841</t>
  </si>
  <si>
    <t>08/1012</t>
  </si>
  <si>
    <t>08/1047</t>
  </si>
  <si>
    <t>08/0721</t>
  </si>
  <si>
    <t>LATE DELIVERY TO DEALER (27304) DUE TO DRIVER NOT FEELING WELL.</t>
  </si>
  <si>
    <t>8260098016 8260098033</t>
  </si>
  <si>
    <t>09/0626</t>
  </si>
  <si>
    <t>09/0642</t>
  </si>
  <si>
    <t>09/0801</t>
  </si>
  <si>
    <t>09/0838</t>
  </si>
  <si>
    <t>09/0620</t>
  </si>
  <si>
    <t>09/0821</t>
  </si>
  <si>
    <t>09/0859</t>
  </si>
  <si>
    <t>09/1006</t>
  </si>
  <si>
    <t>8260098105 8260098093</t>
  </si>
  <si>
    <t>10/0648</t>
  </si>
  <si>
    <t>10/0706</t>
  </si>
  <si>
    <t>10/0745</t>
  </si>
  <si>
    <t>10/0844</t>
  </si>
  <si>
    <t>10/0736</t>
  </si>
  <si>
    <t>10/0831</t>
  </si>
  <si>
    <t>10/0921</t>
  </si>
  <si>
    <t>8260098177 8260098154</t>
  </si>
  <si>
    <t>11/0815</t>
  </si>
  <si>
    <t>11/0859</t>
  </si>
  <si>
    <t>11/0931</t>
  </si>
  <si>
    <t>11/0733</t>
  </si>
  <si>
    <t>11/0809</t>
  </si>
  <si>
    <t>11/0847</t>
  </si>
  <si>
    <t>11/0814</t>
  </si>
  <si>
    <t>8260098223 8260098231</t>
  </si>
  <si>
    <t>07/0931</t>
  </si>
  <si>
    <t>07/1053</t>
  </si>
  <si>
    <t>07/1040</t>
  </si>
  <si>
    <t>07/1013</t>
  </si>
  <si>
    <t>07/1024</t>
  </si>
  <si>
    <t>8260097932, 8260097955</t>
  </si>
  <si>
    <t>08/1025</t>
  </si>
  <si>
    <t>08/1209</t>
  </si>
  <si>
    <t>08/1141</t>
  </si>
  <si>
    <t>08/1120</t>
  </si>
  <si>
    <t>08/1440</t>
  </si>
  <si>
    <t>8260098013, 8260098008</t>
  </si>
  <si>
    <t>09/0929</t>
  </si>
  <si>
    <t>09/1213</t>
  </si>
  <si>
    <t>09/1227</t>
  </si>
  <si>
    <t>09/1200</t>
  </si>
  <si>
    <t>09/1209</t>
  </si>
  <si>
    <t>09/1600</t>
  </si>
  <si>
    <t>8260098081, 8260098102</t>
  </si>
  <si>
    <t>10/0835</t>
  </si>
  <si>
    <t>10/0950</t>
  </si>
  <si>
    <t>10/1332</t>
  </si>
  <si>
    <t>10/1257</t>
  </si>
  <si>
    <t>10/1313</t>
  </si>
  <si>
    <t>11/0900</t>
  </si>
  <si>
    <t>11/1257</t>
  </si>
  <si>
    <t>11/1149</t>
  </si>
  <si>
    <t>11/1107</t>
  </si>
  <si>
    <t>11/1123</t>
  </si>
  <si>
    <t>13/0900</t>
  </si>
  <si>
    <t xml:space="preserve">LEE MOTOR OFF ON SATURDAY </t>
  </si>
  <si>
    <t>8260098229, 8260098214</t>
  </si>
  <si>
    <t>HAFIZAN / HISHAM</t>
  </si>
  <si>
    <t>JTR 914</t>
  </si>
  <si>
    <t>YUNOS / IPIN</t>
  </si>
  <si>
    <t>BLACK / ISWARAN</t>
  </si>
  <si>
    <t xml:space="preserve">VQ 2864 </t>
  </si>
  <si>
    <t>KAMAL</t>
  </si>
  <si>
    <t>SAZALI / KHAIRUL</t>
  </si>
  <si>
    <t>JRT 4341</t>
  </si>
  <si>
    <t xml:space="preserve">AIMAN BAGONG / IPIN </t>
  </si>
  <si>
    <t>ISMAIL / ISWARAN</t>
  </si>
  <si>
    <t>YUNOS</t>
  </si>
  <si>
    <t>BLACK / KHAIRUL</t>
  </si>
  <si>
    <t>FARIZAL</t>
  </si>
  <si>
    <t>HAFIZAN / AGUS</t>
  </si>
  <si>
    <t>WVD 4968</t>
  </si>
  <si>
    <t>FAZLY / IPIN</t>
  </si>
  <si>
    <t>JWR 2968</t>
  </si>
  <si>
    <t>IDRIS / DANIAL</t>
  </si>
  <si>
    <t>AIMAN BAGONG / IZZAT</t>
  </si>
  <si>
    <t>ALIP / HISHAM</t>
  </si>
  <si>
    <t>BLACK</t>
  </si>
  <si>
    <t>JWG 4709</t>
  </si>
  <si>
    <t>AZARI</t>
  </si>
  <si>
    <t>13/1503</t>
  </si>
  <si>
    <t>13/1543</t>
  </si>
  <si>
    <t>13/2038</t>
  </si>
  <si>
    <t>13/2007</t>
  </si>
  <si>
    <t>13/2005</t>
  </si>
  <si>
    <t>8260098253, 8260098256, 8260098257</t>
  </si>
  <si>
    <t>14/1413</t>
  </si>
  <si>
    <t>14/1504</t>
  </si>
  <si>
    <t>14/1443</t>
  </si>
  <si>
    <t>14/1630</t>
  </si>
  <si>
    <t>14/2220</t>
  </si>
  <si>
    <t>14/2200</t>
  </si>
  <si>
    <t>14/2157</t>
  </si>
  <si>
    <t>8260098315, 8260098316, 8260098318, 8260098319</t>
  </si>
  <si>
    <t>15/1617</t>
  </si>
  <si>
    <t>15/1639</t>
  </si>
  <si>
    <t>15/1635</t>
  </si>
  <si>
    <t>MY CUSTOM SYSTEM WAS DOWN AND THIS LED TO A MASSIVE TRAFFIC CONGESTION AT SECONDLINK HIGHWAYS TOWARDS KSAB AND TUAS.</t>
  </si>
  <si>
    <t>8260098377, 8260098379, 8260098381</t>
  </si>
  <si>
    <t>8260098375, 8260098378</t>
  </si>
  <si>
    <t>16/1538</t>
  </si>
  <si>
    <t>16/1544</t>
  </si>
  <si>
    <t>16/1831</t>
  </si>
  <si>
    <t>16/1858</t>
  </si>
  <si>
    <t>16/2156</t>
  </si>
  <si>
    <t>16/2125</t>
  </si>
  <si>
    <t>16/2137</t>
  </si>
  <si>
    <t xml:space="preserve">LATE TRUCK ON DECK FOR TRUCK JVG 7465 (HAFIZAN / AGUS). </t>
  </si>
  <si>
    <t>8260098456, 8260098460, 8260098461</t>
  </si>
  <si>
    <t>8260098376, 8260098454, 8260098457</t>
  </si>
  <si>
    <t>8260098455, 8260098462</t>
  </si>
  <si>
    <t>17/1611</t>
  </si>
  <si>
    <t>17/1617</t>
  </si>
  <si>
    <t>17/2149</t>
  </si>
  <si>
    <t>17/2200</t>
  </si>
  <si>
    <t>17/2205</t>
  </si>
  <si>
    <t>TRAFFIC CONGESTION AT SECONDLINK BRIDGE TOWARDS TUAS CHECKPOINT DUE TO RANDOM CHECKING DONE BY ICA.</t>
  </si>
  <si>
    <t>8260098525, 8260098528</t>
  </si>
  <si>
    <t>13/1815</t>
  </si>
  <si>
    <t>8260098260, 8260098261, 8260098263, 8260098264, 8260098266, 8260098120, 8260098121, 8260098122</t>
  </si>
  <si>
    <t>14/1906</t>
  </si>
  <si>
    <t>8260098326, 8260098327, 8260098328</t>
  </si>
  <si>
    <t>15/1946</t>
  </si>
  <si>
    <t>8260098384, 8260098386, 8260098387, 8260098389, 8260098388</t>
  </si>
  <si>
    <t>16/1856</t>
  </si>
  <si>
    <t>16/2147</t>
  </si>
  <si>
    <t>8260098466, 8260098467</t>
  </si>
  <si>
    <t>8260098515, 8260098516</t>
  </si>
  <si>
    <t>17/1910</t>
  </si>
  <si>
    <t>8260098530, 8260098532, 8260098533, 8260098534, 8260098535, 8260098536, 8260098537</t>
  </si>
  <si>
    <t>14/0936</t>
  </si>
  <si>
    <t>14/1015</t>
  </si>
  <si>
    <t>14/0917</t>
  </si>
  <si>
    <t>14/1212</t>
  </si>
  <si>
    <t>14/0930</t>
  </si>
  <si>
    <t>14/1349</t>
  </si>
  <si>
    <t>DIESEL ISSUE</t>
  </si>
  <si>
    <t>8260098304
8260098279
8260098278</t>
  </si>
  <si>
    <t>8260098294
8260098286</t>
  </si>
  <si>
    <t>15/0904</t>
  </si>
  <si>
    <t>15/1015</t>
  </si>
  <si>
    <t>15/0923</t>
  </si>
  <si>
    <t>15/1014</t>
  </si>
  <si>
    <t>15/0935</t>
  </si>
  <si>
    <t>15/1200</t>
  </si>
  <si>
    <t>8260098348
8260098347
8260098346</t>
  </si>
  <si>
    <t>8260098345
8260098358</t>
  </si>
  <si>
    <t>16/0935</t>
  </si>
  <si>
    <t>16/1030</t>
  </si>
  <si>
    <t>16/0100</t>
  </si>
  <si>
    <t>16/1113</t>
  </si>
  <si>
    <t>16/0940</t>
  </si>
  <si>
    <t>16/1040</t>
  </si>
  <si>
    <t>TRUCK LATE DEPART FROM HUB (WAITING KL TRUCK OFFLOAD)</t>
  </si>
  <si>
    <t>8260098419
8260098418
8260098404</t>
  </si>
  <si>
    <t>8260098422
8260098415</t>
  </si>
  <si>
    <t>17/1054</t>
  </si>
  <si>
    <t>17/1020</t>
  </si>
  <si>
    <t>17/1430</t>
  </si>
  <si>
    <t>17/1131</t>
  </si>
  <si>
    <t>17/0945</t>
  </si>
  <si>
    <t>18/0841</t>
  </si>
  <si>
    <t>LATE DELIVERY TO DEALER (25435) driver mistakenly referred to the delivery order and proceeded to the wrong location.</t>
  </si>
  <si>
    <t>8260098512
8260098505
8260098480</t>
  </si>
  <si>
    <t>18/0815</t>
  </si>
  <si>
    <t>18/0900</t>
  </si>
  <si>
    <t>18/0905</t>
  </si>
  <si>
    <t>18/1014</t>
  </si>
  <si>
    <t>18/0850</t>
  </si>
  <si>
    <t>8260098552
826009554
826009570</t>
  </si>
  <si>
    <t>Wheelcorp Setia Alam (37479, 54775)</t>
  </si>
  <si>
    <t>Sime Darby AB Body &amp; Paint Centre (Sg.Besi) (52770)</t>
  </si>
  <si>
    <t>14/0633</t>
  </si>
  <si>
    <t>14/0811</t>
  </si>
  <si>
    <t>14/0839</t>
  </si>
  <si>
    <t>14/1143</t>
  </si>
  <si>
    <t>14/0916</t>
  </si>
  <si>
    <t>14/0638</t>
  </si>
  <si>
    <t>14/0820</t>
  </si>
  <si>
    <t>8260098300 8260098306</t>
  </si>
  <si>
    <t>15/0915</t>
  </si>
  <si>
    <t>15/0733</t>
  </si>
  <si>
    <t>15/0821</t>
  </si>
  <si>
    <t>15/1058</t>
  </si>
  <si>
    <t>15/0715</t>
  </si>
  <si>
    <t>15/0615</t>
  </si>
  <si>
    <t xml:space="preserve">LATE DELIVERY TO DEALER (4163) DUE TO UNLOADING IMPORT CARGO AND RELOADING BMW GOODS AT KL HUB BEFORE DELIVERY </t>
  </si>
  <si>
    <t>8260098353 8260098369</t>
  </si>
  <si>
    <t>16/0715</t>
  </si>
  <si>
    <t>16/0700</t>
  </si>
  <si>
    <t>16/0842</t>
  </si>
  <si>
    <t>16/0900</t>
  </si>
  <si>
    <t>16/0749</t>
  </si>
  <si>
    <t>16/0602</t>
  </si>
  <si>
    <t>16/0652</t>
  </si>
  <si>
    <t>8260098413 8260098408</t>
  </si>
  <si>
    <t>17/0719</t>
  </si>
  <si>
    <t>17/0842</t>
  </si>
  <si>
    <t>17/0942</t>
  </si>
  <si>
    <t>17/0816</t>
  </si>
  <si>
    <t>17/0742</t>
  </si>
  <si>
    <t>17/0615</t>
  </si>
  <si>
    <t>17/0656</t>
  </si>
  <si>
    <t>17/0746</t>
  </si>
  <si>
    <t xml:space="preserve">LATE DELIVERY TO DEALER (25329,27303) DUE TO DRIVER DEPART LATE FROM HUB </t>
  </si>
  <si>
    <t>8260098497 8260098500</t>
  </si>
  <si>
    <t>18/0919</t>
  </si>
  <si>
    <t>18/0811</t>
  </si>
  <si>
    <t>18/0943</t>
  </si>
  <si>
    <t>18/1043</t>
  </si>
  <si>
    <t>18/0703</t>
  </si>
  <si>
    <t>18/0743</t>
  </si>
  <si>
    <t xml:space="preserve">LATE DELIVERY TO DEALER (41630) DUE TO DRIVER DEPART LATE FROM HUB </t>
  </si>
  <si>
    <t>8260098583 8260098568</t>
  </si>
  <si>
    <t>14/0619</t>
  </si>
  <si>
    <t>14/0645</t>
  </si>
  <si>
    <t>14/0721</t>
  </si>
  <si>
    <t>14/1029</t>
  </si>
  <si>
    <t>14/0644</t>
  </si>
  <si>
    <t>14/0830</t>
  </si>
  <si>
    <t>14/0900</t>
  </si>
  <si>
    <t>14/1045</t>
  </si>
  <si>
    <t>LATE DELIVERY TO DEALER (39488,46274) BECAUSE WAITING GOODS FROM KLIA .</t>
  </si>
  <si>
    <t>8260098292 8260098301</t>
  </si>
  <si>
    <t>15/0610</t>
  </si>
  <si>
    <t>15/0636</t>
  </si>
  <si>
    <t>15/0716</t>
  </si>
  <si>
    <t>15/0842</t>
  </si>
  <si>
    <t>15/0903</t>
  </si>
  <si>
    <t>15/0625</t>
  </si>
  <si>
    <t>15/0706</t>
  </si>
  <si>
    <t>8260098338 8260098341</t>
  </si>
  <si>
    <t>16/0701</t>
  </si>
  <si>
    <t>16/0726</t>
  </si>
  <si>
    <t>16/0833</t>
  </si>
  <si>
    <t>16/0856</t>
  </si>
  <si>
    <t>16/0841</t>
  </si>
  <si>
    <t>16/0909</t>
  </si>
  <si>
    <t>16/0934</t>
  </si>
  <si>
    <t>16/0913</t>
  </si>
  <si>
    <t>LATE DELIVERY TO DEALER ( 27304) DUE TO DRIVER DEPART LATE FROM HUB.</t>
  </si>
  <si>
    <t>8260098423 8260098412</t>
  </si>
  <si>
    <t>17/0922</t>
  </si>
  <si>
    <t>17/0953</t>
  </si>
  <si>
    <t>17/0928</t>
  </si>
  <si>
    <t>17/0618</t>
  </si>
  <si>
    <t>17/0818</t>
  </si>
  <si>
    <t>17/0901</t>
  </si>
  <si>
    <t>17/0759</t>
  </si>
  <si>
    <t>LATE DELIVERY TO DEALER ( 53924,53931) DUE TO DRIVER DEPART LATE FROM HUB.</t>
  </si>
  <si>
    <t>8260098489 8260098496</t>
  </si>
  <si>
    <t>18/0659</t>
  </si>
  <si>
    <t>18/0725</t>
  </si>
  <si>
    <t>18/0942</t>
  </si>
  <si>
    <t>18/0952</t>
  </si>
  <si>
    <t>18/0754</t>
  </si>
  <si>
    <t>18/0820</t>
  </si>
  <si>
    <t>18/0851</t>
  </si>
  <si>
    <t>18/0819</t>
  </si>
  <si>
    <t>8260098585 8260098559</t>
  </si>
  <si>
    <t>14/0910</t>
  </si>
  <si>
    <t>14/1222</t>
  </si>
  <si>
    <t>14/1148</t>
  </si>
  <si>
    <t>14/1110</t>
  </si>
  <si>
    <t>14/1126</t>
  </si>
  <si>
    <t>14/1514</t>
  </si>
  <si>
    <t>15/0922</t>
  </si>
  <si>
    <t>15/1105</t>
  </si>
  <si>
    <t>15/1030</t>
  </si>
  <si>
    <t>15/1044</t>
  </si>
  <si>
    <t>15/1436</t>
  </si>
  <si>
    <t>8260098342, 8260098336</t>
  </si>
  <si>
    <t>16/0915</t>
  </si>
  <si>
    <t>16/1100</t>
  </si>
  <si>
    <t>16/1105</t>
  </si>
  <si>
    <t>16/1053</t>
  </si>
  <si>
    <t>16/1435</t>
  </si>
  <si>
    <t>8260098416, 8260098417</t>
  </si>
  <si>
    <t>17/0920</t>
  </si>
  <si>
    <t>17/1121</t>
  </si>
  <si>
    <t>17/1155</t>
  </si>
  <si>
    <t>17/1130</t>
  </si>
  <si>
    <t>17/1138</t>
  </si>
  <si>
    <t>17/1500</t>
  </si>
  <si>
    <t>8260098478, 8260088495</t>
  </si>
  <si>
    <t>18/0925</t>
  </si>
  <si>
    <t>18/1010</t>
  </si>
  <si>
    <t>18/1103</t>
  </si>
  <si>
    <t>18/1140</t>
  </si>
  <si>
    <t>18/1049</t>
  </si>
  <si>
    <t>20/0900</t>
  </si>
  <si>
    <t>LEE MOTOR OFF ON SATURDAY</t>
  </si>
  <si>
    <t>8260092025, 8260092072</t>
  </si>
  <si>
    <t>ISMAIL / IZZAT</t>
  </si>
  <si>
    <t>MD SHAH / ISWARAN</t>
  </si>
  <si>
    <t xml:space="preserve">12:43 DEPARTED FROM IFL JB HUB. </t>
  </si>
  <si>
    <t>KHAIR / IPIN</t>
  </si>
  <si>
    <t>ALIP</t>
  </si>
  <si>
    <t>14:57 DEPARTED FROM IFL JB HUB</t>
  </si>
  <si>
    <t xml:space="preserve">WVD 4968 </t>
  </si>
  <si>
    <t>FAZLY</t>
  </si>
  <si>
    <t>JRJ 7321</t>
  </si>
  <si>
    <t xml:space="preserve">15:32 DEPARTED FROM IFL JB HUB </t>
  </si>
  <si>
    <t>SAZALI / IPIN</t>
  </si>
  <si>
    <t>IMPORT DGF. 08:01 AM RELEASED FROM TJ KUPANG &amp; STOPPED AT IPARK FOR REFUELING.</t>
  </si>
  <si>
    <t>FARIZAL / ISWARAN</t>
  </si>
  <si>
    <t>IMPORT DGF. 09:42 AM RELEASED FROM TJ KUPANG.</t>
  </si>
  <si>
    <t>ISMAIL / DANIAL</t>
  </si>
  <si>
    <t xml:space="preserve">15:22 : DEPARTED FROM IFL JB HUB &amp; STOPPED FOR REFUELING. </t>
  </si>
  <si>
    <t>BJM 794</t>
  </si>
  <si>
    <t>MEGAT / IPIN</t>
  </si>
  <si>
    <t>09:13 : DEPARTED IFL JB HUB</t>
  </si>
  <si>
    <t>SAZALI / BLACK</t>
  </si>
  <si>
    <t>ISMAIL / AGUS</t>
  </si>
  <si>
    <t>KHAIR / KHAIRUL</t>
  </si>
  <si>
    <t>KHAIR / SANI</t>
  </si>
  <si>
    <t xml:space="preserve">JTJ 3259 </t>
  </si>
  <si>
    <t xml:space="preserve">HEAVY RAIN. </t>
  </si>
  <si>
    <t>15:46 : DEPARTED FROM IFL JB HUB</t>
  </si>
  <si>
    <t>JYS 7658</t>
  </si>
  <si>
    <t xml:space="preserve">16:09 : DEPARTED FROM IFL JB HUB &amp; STOPPED FOR REFUELING. </t>
  </si>
  <si>
    <t>20/1441</t>
  </si>
  <si>
    <t>20/1514</t>
  </si>
  <si>
    <t>20/2140</t>
  </si>
  <si>
    <t>20/2203</t>
  </si>
  <si>
    <t>8260098597, 8260098600, 8260098603, 8260098604, 8260098605</t>
  </si>
  <si>
    <t>8260098599, 8260098606</t>
  </si>
  <si>
    <t>8260098598, 8260098602</t>
  </si>
  <si>
    <t>21/1619</t>
  </si>
  <si>
    <t>21/1651</t>
  </si>
  <si>
    <t>21/1652</t>
  </si>
  <si>
    <t>21/1641</t>
  </si>
  <si>
    <t>21/1741</t>
  </si>
  <si>
    <t>21/2146</t>
  </si>
  <si>
    <t>21/2207</t>
  </si>
  <si>
    <t xml:space="preserve">TRAFFIC CONGESTION AT BOTH CHECKOINTS DUE TO AKPS PROCEDURE &amp; RANDOM CHECKING DONE BY ICA LED TO BUILD UP LONG QUEUE FOR CUSTOM CLEARANCE PROCESS. </t>
  </si>
  <si>
    <t>8260098673, 8260098674</t>
  </si>
  <si>
    <t>8260098668, 8260098676</t>
  </si>
  <si>
    <t>8260098667, 8260098671</t>
  </si>
  <si>
    <t>8260098670, 8260098672</t>
  </si>
  <si>
    <t>8260098669, 8260098675</t>
  </si>
  <si>
    <t>22/1448</t>
  </si>
  <si>
    <t>22/1435</t>
  </si>
  <si>
    <t>22/2228</t>
  </si>
  <si>
    <t>22/2142</t>
  </si>
  <si>
    <t>8260098731, 8260098732, 8260098735</t>
  </si>
  <si>
    <t>23/1534</t>
  </si>
  <si>
    <t>23/1607</t>
  </si>
  <si>
    <t>23/1528</t>
  </si>
  <si>
    <t>23/1555</t>
  </si>
  <si>
    <t>23/2125</t>
  </si>
  <si>
    <t>23/2102</t>
  </si>
  <si>
    <t>TRAFFIC CONGESTION AT BOTH CHECKPOINTS DUE TO RANDOM INSPECTION BY CUSTOM OFFICER DUE TO RECENT SMUGGLING CASES.</t>
  </si>
  <si>
    <t>8260098730, 8260098810, 8260098815, 8260098816, 8260098817</t>
  </si>
  <si>
    <t>8260098872, 8260098873</t>
  </si>
  <si>
    <t>24/1605</t>
  </si>
  <si>
    <t>24/1623</t>
  </si>
  <si>
    <t>24/2102</t>
  </si>
  <si>
    <t>24/2029</t>
  </si>
  <si>
    <t>24/2048</t>
  </si>
  <si>
    <t>8260098880, 8260098885, 8260098886</t>
  </si>
  <si>
    <t>8260098882, 8260098884</t>
  </si>
  <si>
    <t>8260098881, 8260098883</t>
  </si>
  <si>
    <t>20/1812</t>
  </si>
  <si>
    <t>8260098450, 8260098451, 8260098452, 8260098453, 8260098601, 8260098608, 8260098609, 8260098610, 8260098611, 8260098613</t>
  </si>
  <si>
    <t>21/2027</t>
  </si>
  <si>
    <t>8260098680, 8260098681, 8260098682</t>
  </si>
  <si>
    <t>22/1803</t>
  </si>
  <si>
    <t>8260098739, 8260098742, 8260098744, 8260098745, 8260098746</t>
  </si>
  <si>
    <t>23/1814</t>
  </si>
  <si>
    <t>8260098821, 8260098822, 8260098823</t>
  </si>
  <si>
    <t>24/1851</t>
  </si>
  <si>
    <t>24/2218</t>
  </si>
  <si>
    <t>8260098887, 8260098890, 8260098891, 8260098892, 8260098893, 8260098894</t>
  </si>
  <si>
    <t>21/1000</t>
  </si>
  <si>
    <t>21/1010</t>
  </si>
  <si>
    <t>21/1304</t>
  </si>
  <si>
    <t>21/0950</t>
  </si>
  <si>
    <t>21/0945</t>
  </si>
  <si>
    <t>21/1237</t>
  </si>
  <si>
    <t>TRAFFIC CONGESTION.</t>
  </si>
  <si>
    <t>8260098639
8260098637
8260098631</t>
  </si>
  <si>
    <t>8260098640
8260098641</t>
  </si>
  <si>
    <t>22/0953</t>
  </si>
  <si>
    <t>22/0950</t>
  </si>
  <si>
    <t>22/1018</t>
  </si>
  <si>
    <t>22/1002</t>
  </si>
  <si>
    <t>22/0922</t>
  </si>
  <si>
    <t>22/1046</t>
  </si>
  <si>
    <t>TRUCK BREAKDOWN.</t>
  </si>
  <si>
    <t>8260098696
8260098703
8260098710</t>
  </si>
  <si>
    <t>23/1021</t>
  </si>
  <si>
    <t>23/1020</t>
  </si>
  <si>
    <t>23/1038</t>
  </si>
  <si>
    <t>23/1145</t>
  </si>
  <si>
    <t>23/0930</t>
  </si>
  <si>
    <t>DRIVER DEPARTED LATE FROM IFL JB HUB DUE TO HIS MOTOR BREAKDOWN</t>
  </si>
  <si>
    <t>8260098795
8260098780
82602098766</t>
  </si>
  <si>
    <t>8260098761
8260098764</t>
  </si>
  <si>
    <t>24/0851</t>
  </si>
  <si>
    <t>24/0930</t>
  </si>
  <si>
    <t>24/1050</t>
  </si>
  <si>
    <t>24/1116</t>
  </si>
  <si>
    <t>24/0935</t>
  </si>
  <si>
    <t>25/1452</t>
  </si>
  <si>
    <t>8260098840
8260098856
8260098866</t>
  </si>
  <si>
    <t>25/0820</t>
  </si>
  <si>
    <t>25/0915</t>
  </si>
  <si>
    <t>25/0858</t>
  </si>
  <si>
    <t>25/1104</t>
  </si>
  <si>
    <t>25/0930</t>
  </si>
  <si>
    <t>8260098909
8260098926
8260098929</t>
  </si>
  <si>
    <t>21/0544</t>
  </si>
  <si>
    <t>21/0732</t>
  </si>
  <si>
    <t>21/0929</t>
  </si>
  <si>
    <t>21/0921</t>
  </si>
  <si>
    <t>21/0609</t>
  </si>
  <si>
    <t>21/0652</t>
  </si>
  <si>
    <t>8260098625 8260098653</t>
  </si>
  <si>
    <t>22/0629</t>
  </si>
  <si>
    <t>22/0712</t>
  </si>
  <si>
    <t>22/0908</t>
  </si>
  <si>
    <t>22/0854</t>
  </si>
  <si>
    <t>22/0731</t>
  </si>
  <si>
    <t>22/0538</t>
  </si>
  <si>
    <t>22/0621</t>
  </si>
  <si>
    <t>22/0746</t>
  </si>
  <si>
    <t>8260098691 8260098713</t>
  </si>
  <si>
    <t>23/0734</t>
  </si>
  <si>
    <t>23/0817</t>
  </si>
  <si>
    <t>23/0909</t>
  </si>
  <si>
    <t>23/0857</t>
  </si>
  <si>
    <t>23/0902</t>
  </si>
  <si>
    <t>23/0648</t>
  </si>
  <si>
    <t>23/0736</t>
  </si>
  <si>
    <t>23/0829</t>
  </si>
  <si>
    <t>8260098774 8260098788</t>
  </si>
  <si>
    <t>24/0823</t>
  </si>
  <si>
    <t>24/0702</t>
  </si>
  <si>
    <t>24/0852</t>
  </si>
  <si>
    <t>24/0924</t>
  </si>
  <si>
    <t>24/0916</t>
  </si>
  <si>
    <t>24/0558</t>
  </si>
  <si>
    <t>24/0643</t>
  </si>
  <si>
    <t>8260098838 8260098867</t>
  </si>
  <si>
    <t>25/0809</t>
  </si>
  <si>
    <t>25/0701</t>
  </si>
  <si>
    <t>25/0853</t>
  </si>
  <si>
    <t>25/0904</t>
  </si>
  <si>
    <t>25/0612</t>
  </si>
  <si>
    <t>25/0649</t>
  </si>
  <si>
    <t>25/0835</t>
  </si>
  <si>
    <t>8260098939 8260098913</t>
  </si>
  <si>
    <t>21/0634</t>
  </si>
  <si>
    <t>21/0759</t>
  </si>
  <si>
    <t>21/0901</t>
  </si>
  <si>
    <t>21/0941</t>
  </si>
  <si>
    <t>21/0616</t>
  </si>
  <si>
    <t>21/0827</t>
  </si>
  <si>
    <t>21/0902</t>
  </si>
  <si>
    <t>21/0810</t>
  </si>
  <si>
    <t>8260098643 8260098647</t>
  </si>
  <si>
    <t>22/0356</t>
  </si>
  <si>
    <t>22/0424</t>
  </si>
  <si>
    <t>22/0713</t>
  </si>
  <si>
    <t>22/0839</t>
  </si>
  <si>
    <t>22/0831</t>
  </si>
  <si>
    <t>22/0617</t>
  </si>
  <si>
    <t>22/0923</t>
  </si>
  <si>
    <t>22/0705</t>
  </si>
  <si>
    <t>8260098695 8260098707</t>
  </si>
  <si>
    <t>23/0635</t>
  </si>
  <si>
    <t>23/0651</t>
  </si>
  <si>
    <t>23/0758</t>
  </si>
  <si>
    <t>23/0841</t>
  </si>
  <si>
    <t>23/0618</t>
  </si>
  <si>
    <t>23/0808</t>
  </si>
  <si>
    <t>23/0858</t>
  </si>
  <si>
    <t>23/0824</t>
  </si>
  <si>
    <t>8260098760 8260098771</t>
  </si>
  <si>
    <t>24/0635</t>
  </si>
  <si>
    <t>24/0623</t>
  </si>
  <si>
    <t>24/0723</t>
  </si>
  <si>
    <t>24/0927</t>
  </si>
  <si>
    <t>24/0830</t>
  </si>
  <si>
    <t>24/0858</t>
  </si>
  <si>
    <t>24/0932</t>
  </si>
  <si>
    <t>LATE DELIVERY TO DEALER (27304) DUE TO HEAVY TRAFFIC .</t>
  </si>
  <si>
    <t>8260098845 8260098847</t>
  </si>
  <si>
    <t>25/0711</t>
  </si>
  <si>
    <t>25/0752</t>
  </si>
  <si>
    <t>25/0828</t>
  </si>
  <si>
    <t>25/0840</t>
  </si>
  <si>
    <t>25/0746</t>
  </si>
  <si>
    <t>25/0826</t>
  </si>
  <si>
    <t>25/0838</t>
  </si>
  <si>
    <t>8260098934 8260098910</t>
  </si>
  <si>
    <t>21/0906</t>
  </si>
  <si>
    <t>21/1058</t>
  </si>
  <si>
    <t>21/1042</t>
  </si>
  <si>
    <t>21/1008</t>
  </si>
  <si>
    <t>21/1032</t>
  </si>
  <si>
    <t>21/1415</t>
  </si>
  <si>
    <t>22/0931</t>
  </si>
  <si>
    <t>22/1048</t>
  </si>
  <si>
    <t>22/1211</t>
  </si>
  <si>
    <t>22/1144</t>
  </si>
  <si>
    <t>22/1228</t>
  </si>
  <si>
    <t>22/1258</t>
  </si>
  <si>
    <t>23/1115</t>
  </si>
  <si>
    <t>23/1401</t>
  </si>
  <si>
    <t>23/1350</t>
  </si>
  <si>
    <t>23/1415</t>
  </si>
  <si>
    <t>23/1405</t>
  </si>
  <si>
    <t>23/1610</t>
  </si>
  <si>
    <t>8260098802, 8260098763</t>
  </si>
  <si>
    <t>24/1146</t>
  </si>
  <si>
    <t>24/1226</t>
  </si>
  <si>
    <t>24/1138</t>
  </si>
  <si>
    <t>24/1211</t>
  </si>
  <si>
    <t>24/1346</t>
  </si>
  <si>
    <t>8260098844, 8260098860</t>
  </si>
  <si>
    <t>25/0914</t>
  </si>
  <si>
    <t>25/1051</t>
  </si>
  <si>
    <t>25/1211</t>
  </si>
  <si>
    <t>25/1140</t>
  </si>
  <si>
    <t>25/1154</t>
  </si>
  <si>
    <t>27/0840</t>
  </si>
  <si>
    <t>8260098924, 8260098932</t>
  </si>
  <si>
    <t>AIMAN BAGONG / IPIN</t>
  </si>
  <si>
    <t>09:34 : DEPARTED FROM IFL JB HUB</t>
  </si>
  <si>
    <t>ISMAIL / HISHAM</t>
  </si>
  <si>
    <t>HEAVY RAIN</t>
  </si>
  <si>
    <t>SAZALI / DANIAL</t>
  </si>
  <si>
    <t>JUY 9157</t>
  </si>
  <si>
    <t>WB 6864 Q</t>
  </si>
  <si>
    <t>MEGAT / SANI</t>
  </si>
  <si>
    <t>IRUL</t>
  </si>
  <si>
    <t>15:28 : DEPARTED FROM IFL JB HUB</t>
  </si>
  <si>
    <t>SAZALI / DANIEL</t>
  </si>
  <si>
    <t>16:07 : DEPARTED FROM IFL JB HUB</t>
  </si>
  <si>
    <t>JWJ 6802</t>
  </si>
  <si>
    <t>FADHIL</t>
  </si>
  <si>
    <t>VPF 8438</t>
  </si>
  <si>
    <t>REPLACEMENT TRUCK DUE TO THE JTJ 3259 HAD EMERGENCY.</t>
  </si>
  <si>
    <t>IDRIS</t>
  </si>
  <si>
    <t>16:22 DEPARTED FROM IFL JB HUB</t>
  </si>
  <si>
    <t>27/1507</t>
  </si>
  <si>
    <t>27/1448</t>
  </si>
  <si>
    <t>27/2209</t>
  </si>
  <si>
    <t>27/2148</t>
  </si>
  <si>
    <t xml:space="preserve">8260098879, 8260098951, 8260098954, 8260098955, </t>
  </si>
  <si>
    <t>8260098952, 8260098956</t>
  </si>
  <si>
    <t>8260099018, 8260099019</t>
  </si>
  <si>
    <t>28/1636</t>
  </si>
  <si>
    <t>28/1658</t>
  </si>
  <si>
    <t>28/1659</t>
  </si>
  <si>
    <t>28/1603</t>
  </si>
  <si>
    <t>28/1818</t>
  </si>
  <si>
    <t>28/2125</t>
  </si>
  <si>
    <t>28/2104</t>
  </si>
  <si>
    <t>8260099024, 8260099032, 8260099033</t>
  </si>
  <si>
    <t>8260099027, 8260099030</t>
  </si>
  <si>
    <t>8260099029, 8260099034</t>
  </si>
  <si>
    <t>29/1557</t>
  </si>
  <si>
    <t>29/1617</t>
  </si>
  <si>
    <t>29/2346</t>
  </si>
  <si>
    <t>29/2333</t>
  </si>
  <si>
    <t>TRAFFIC CONGESTION AT BOTH CHECKOINTS DUE TO AKPS PROCEDURE &amp; RANDOM CHECKING DONE BY ICA LED TO BUILD UP LONG QUEUE FOR CUSTOM CLEARANCE PROCESS. SG PM TRUCK DEPARTED FROM TJ KUPANG AT 21:28 AND DEPARTED FROM TUAS CHECKPOINT AT 23:08.</t>
  </si>
  <si>
    <t>8260099025, 8260099092, 8260099095, 8260099098, 8260099100</t>
  </si>
  <si>
    <t>8260099094, 8260099099</t>
  </si>
  <si>
    <t>8260099093, 8260099097</t>
  </si>
  <si>
    <t>30/1633</t>
  </si>
  <si>
    <t>30/1638</t>
  </si>
  <si>
    <t>30/1724</t>
  </si>
  <si>
    <t>30/1811</t>
  </si>
  <si>
    <t>30/2145</t>
  </si>
  <si>
    <t>30/2127</t>
  </si>
  <si>
    <t>8260099161, 8260099167, 8260099170</t>
  </si>
  <si>
    <t>8260099096, 8260099163, 8260099169</t>
  </si>
  <si>
    <t>8260099162, 8260099168</t>
  </si>
  <si>
    <t>8260099164, 8260099165, 8260099171</t>
  </si>
  <si>
    <t>NO SHIPMENT (LABOUR DAY).</t>
  </si>
  <si>
    <t>27/1815</t>
  </si>
  <si>
    <t>8260098960, 8260098961, 8260098962, 8260098963, 8260098965, 8260098803, 8260098804, 8260098805</t>
  </si>
  <si>
    <t>28/1750</t>
  </si>
  <si>
    <t>8260099016, 8260099038, 8260099039, 8260099040</t>
  </si>
  <si>
    <t>29/1915</t>
  </si>
  <si>
    <t>8260099102, 8260099103, 8260099104, 8260099106, 8260099109</t>
  </si>
  <si>
    <t>30/2100</t>
  </si>
  <si>
    <t>8260099177, 8260099179, 8260099181, 8260099182</t>
  </si>
  <si>
    <t>THE ASSIGNED DRIVER (JTJ 3259 = ISMAIL) HAD EMERGENCY.</t>
  </si>
  <si>
    <t>28/0850</t>
  </si>
  <si>
    <t>28/0900</t>
  </si>
  <si>
    <t>28/0830</t>
  </si>
  <si>
    <t>28/1010</t>
  </si>
  <si>
    <t>28/0935</t>
  </si>
  <si>
    <t>28/1117</t>
  </si>
  <si>
    <t>8260099011
8260098991
8260098990</t>
  </si>
  <si>
    <t>29/0836</t>
  </si>
  <si>
    <t>29/0910</t>
  </si>
  <si>
    <t>29/0850</t>
  </si>
  <si>
    <t>29/1115</t>
  </si>
  <si>
    <t>29/0930</t>
  </si>
  <si>
    <t>29/1057</t>
  </si>
  <si>
    <t>8260099080
8260099069</t>
  </si>
  <si>
    <t>8260099059
8260099060</t>
  </si>
  <si>
    <t>30/0927</t>
  </si>
  <si>
    <t>30/0910</t>
  </si>
  <si>
    <t>30/1250</t>
  </si>
  <si>
    <t>30/1111</t>
  </si>
  <si>
    <t>30/0929</t>
  </si>
  <si>
    <t>8260099129
8260099127
8260099122</t>
  </si>
  <si>
    <t>8260099126
8260099133</t>
  </si>
  <si>
    <t>02/0844</t>
  </si>
  <si>
    <t>02/0900</t>
  </si>
  <si>
    <t>02/0845</t>
  </si>
  <si>
    <t>02/1118</t>
  </si>
  <si>
    <t>06/1129</t>
  </si>
  <si>
    <t>MILLENIUMWELT  K.TERENGGANU OFF ON FRIDAY  
IFL JB  OFF ON FRIDAY</t>
  </si>
  <si>
    <t>8260099207
8260099195
8260099192</t>
  </si>
  <si>
    <t>8260099196, 8260099208</t>
  </si>
  <si>
    <t>28/0652</t>
  </si>
  <si>
    <t>28/0803</t>
  </si>
  <si>
    <t>28/0743</t>
  </si>
  <si>
    <t>28/1000</t>
  </si>
  <si>
    <t>28/0924</t>
  </si>
  <si>
    <t>28/0609</t>
  </si>
  <si>
    <t>28/0653</t>
  </si>
  <si>
    <t>8260098986 8260098999</t>
  </si>
  <si>
    <t>29/0630</t>
  </si>
  <si>
    <t>29/0740</t>
  </si>
  <si>
    <t>29/0859</t>
  </si>
  <si>
    <t>29/0948</t>
  </si>
  <si>
    <t>29/0733</t>
  </si>
  <si>
    <t>29/0645</t>
  </si>
  <si>
    <t>29/0739</t>
  </si>
  <si>
    <t>29/0816</t>
  </si>
  <si>
    <t>8260099058 8260099070</t>
  </si>
  <si>
    <t>30/0804</t>
  </si>
  <si>
    <t>30/0753</t>
  </si>
  <si>
    <t>30/0717</t>
  </si>
  <si>
    <t>30/0919</t>
  </si>
  <si>
    <t>30/0828</t>
  </si>
  <si>
    <t>30/0602</t>
  </si>
  <si>
    <t>30/0635</t>
  </si>
  <si>
    <t>30/0847</t>
  </si>
  <si>
    <t>8260099141 8260099155</t>
  </si>
  <si>
    <t>02/0753</t>
  </si>
  <si>
    <t>02/0854</t>
  </si>
  <si>
    <t>02/0903</t>
  </si>
  <si>
    <t>02/0902</t>
  </si>
  <si>
    <t>02/0712</t>
  </si>
  <si>
    <t>02/0746</t>
  </si>
  <si>
    <t>02/0805</t>
  </si>
  <si>
    <r>
      <rPr>
        <sz val="11"/>
        <color rgb="FFFF0000"/>
        <rFont val="Aptos Narrow"/>
        <family val="2"/>
        <scheme val="minor"/>
      </rPr>
      <t>LATE DELIVERY TO DEALER (41630) DUE TO HIGH VOLUME LOADING TAKES LONFER TIME.</t>
    </r>
    <r>
      <rPr>
        <sz val="11"/>
        <color theme="1"/>
        <rFont val="Aptos Narrow"/>
        <family val="2"/>
        <scheme val="minor"/>
      </rPr>
      <t xml:space="preserve"> . PH (01/05) AND DELIVER WAS ARRANGED THE NEXT WORKING DAY.</t>
    </r>
  </si>
  <si>
    <t>8260099214 8260099201</t>
  </si>
  <si>
    <t>Continental Auto Part (54944)</t>
  </si>
  <si>
    <t>KPI: 1000 hrs</t>
  </si>
  <si>
    <t>28/0733</t>
  </si>
  <si>
    <t>28/0807</t>
  </si>
  <si>
    <t>28/0840</t>
  </si>
  <si>
    <t>28/1008</t>
  </si>
  <si>
    <t>28/0630</t>
  </si>
  <si>
    <t>28/0618</t>
  </si>
  <si>
    <t>28/0847</t>
  </si>
  <si>
    <t>28/0705</t>
  </si>
  <si>
    <t>8260098997 8260099000</t>
  </si>
  <si>
    <t>29/0621</t>
  </si>
  <si>
    <t>29/0702</t>
  </si>
  <si>
    <t>29/0737</t>
  </si>
  <si>
    <t>29/0811</t>
  </si>
  <si>
    <t>29/0750</t>
  </si>
  <si>
    <t>29/0858</t>
  </si>
  <si>
    <t>29/0655</t>
  </si>
  <si>
    <t>8260099061 8260099067</t>
  </si>
  <si>
    <t>30/0603</t>
  </si>
  <si>
    <t>30/0629</t>
  </si>
  <si>
    <t>30/0709</t>
  </si>
  <si>
    <t>30/0843</t>
  </si>
  <si>
    <t>30/0624</t>
  </si>
  <si>
    <t>30/0817</t>
  </si>
  <si>
    <t>30/0856</t>
  </si>
  <si>
    <t>30/0935</t>
  </si>
  <si>
    <t>8260099132 8260099150</t>
  </si>
  <si>
    <t>02/0850</t>
  </si>
  <si>
    <t>02/0921</t>
  </si>
  <si>
    <t>02/0656</t>
  </si>
  <si>
    <t>02/0750</t>
  </si>
  <si>
    <t>02/0920</t>
  </si>
  <si>
    <t>8260099216 8260099213</t>
  </si>
  <si>
    <t>PH (01/05) AND DELIVER WAS ARRANGED THE NEXT WORKING DAY.</t>
  </si>
  <si>
    <t>28/0959</t>
  </si>
  <si>
    <t>28/1059</t>
  </si>
  <si>
    <t>28/1032</t>
  </si>
  <si>
    <t>28/1043</t>
  </si>
  <si>
    <t>28/1201</t>
  </si>
  <si>
    <t>8260099004, 8260099012</t>
  </si>
  <si>
    <t>29/0952</t>
  </si>
  <si>
    <t>29/1127</t>
  </si>
  <si>
    <t>29/1050</t>
  </si>
  <si>
    <t>29/1051</t>
  </si>
  <si>
    <t>29/1009</t>
  </si>
  <si>
    <t>29/1026</t>
  </si>
  <si>
    <t>29/1348</t>
  </si>
  <si>
    <t>8260099052, 8260099077</t>
  </si>
  <si>
    <t>30/0949</t>
  </si>
  <si>
    <t>30/1045</t>
  </si>
  <si>
    <t>30/1112</t>
  </si>
  <si>
    <t>30/1103</t>
  </si>
  <si>
    <t>30/1330</t>
  </si>
  <si>
    <t>8260099134, 8260099153</t>
  </si>
  <si>
    <t>02/0950</t>
  </si>
  <si>
    <t>02/0840</t>
  </si>
  <si>
    <t>02/0800</t>
  </si>
  <si>
    <t>02/0830</t>
  </si>
  <si>
    <t>LEE MOTOR OFF ON SATURDAY. PH (01/05) AND DELIVER WAS ARRANGED THE NEXT WORKING DAY.</t>
  </si>
  <si>
    <t>8260099194, 8260099211</t>
  </si>
  <si>
    <t>AIMAN BAGONG / SANI</t>
  </si>
  <si>
    <t>09:54 DEPARTED FROM IFL JB HUB. REPLACE VNB 3619 (SAZALI)</t>
  </si>
  <si>
    <t>ALIP / ISWARAN</t>
  </si>
  <si>
    <t>12:39 DEPARTED FROM IFL JB HUB</t>
  </si>
  <si>
    <t>KHAIR / ANGAH</t>
  </si>
  <si>
    <t>STOMACHACHE</t>
  </si>
  <si>
    <t>15:36 DEPARTED FROM IFL JB HUB</t>
  </si>
  <si>
    <t>KHAIR / AGUS</t>
  </si>
  <si>
    <t xml:space="preserve">JSR 6731  </t>
  </si>
  <si>
    <t>ALIP / IZZAT</t>
  </si>
  <si>
    <t>15:23 : DEPARTED FROM IFL JB HUB</t>
  </si>
  <si>
    <t>14:15 : DEPARTED FROM IFL JB HUB</t>
  </si>
  <si>
    <t>SAZALI / HISHAM</t>
  </si>
  <si>
    <t>SAZALI / ANGAH</t>
  </si>
  <si>
    <t>MEGAT</t>
  </si>
  <si>
    <t>16:03 : EXIT FROM TJ KUPANG CHECKPOINT, 16:49 : DEPARTED FROM IFL JB HUB</t>
  </si>
  <si>
    <t>SAME TRUCK DEPLOYED AS SG AM SHIPMENT</t>
  </si>
  <si>
    <t>KAMARUDIN</t>
  </si>
  <si>
    <t>TOTAL TRUCK</t>
  </si>
  <si>
    <t>ON-TIME</t>
  </si>
  <si>
    <t>LATE</t>
  </si>
  <si>
    <t>04/1446</t>
  </si>
  <si>
    <t>04/1430</t>
  </si>
  <si>
    <t>04/2156</t>
  </si>
  <si>
    <t>04/2139</t>
  </si>
  <si>
    <t>8260099228, 8260099231, 8260099233, 8260099234</t>
  </si>
  <si>
    <t>8260099229, 8260099232</t>
  </si>
  <si>
    <t>04/1413</t>
  </si>
  <si>
    <t>05/1450</t>
  </si>
  <si>
    <t>05/1519</t>
  </si>
  <si>
    <t>05/1540</t>
  </si>
  <si>
    <t>05/2259</t>
  </si>
  <si>
    <t>05/2242</t>
  </si>
  <si>
    <t>8260099302, 8260099304, 8260099306, 8260099309</t>
  </si>
  <si>
    <t>8260099303, 8260099311</t>
  </si>
  <si>
    <t>8260099305, 8260099307</t>
  </si>
  <si>
    <t>05/1511</t>
  </si>
  <si>
    <t>05/1551</t>
  </si>
  <si>
    <t>05/2107</t>
  </si>
  <si>
    <t>05/2137</t>
  </si>
  <si>
    <t>TRAFFIC CONGESTION AT BOTH CHECKOINTS DUE TO AKPS PROCEDURE &amp; RANDOM CHECKING DONE BY ICA LED TO BUILD UP LONG QUEUE FOR CUSTOM CLEARANCE PROCESS.</t>
  </si>
  <si>
    <t xml:space="preserve">8260099301, 8260099368, 8260099371, 8260099372, 8260099375, </t>
  </si>
  <si>
    <t>8260099370, 8260099374</t>
  </si>
  <si>
    <t>8260099369, 8260099373</t>
  </si>
  <si>
    <t>8260099438, 8260099439</t>
  </si>
  <si>
    <t>8260099436, 8260099437</t>
  </si>
  <si>
    <t>07/1553</t>
  </si>
  <si>
    <t>07/1625</t>
  </si>
  <si>
    <t>07/1644</t>
  </si>
  <si>
    <t>07/1720</t>
  </si>
  <si>
    <t>07/2336</t>
  </si>
  <si>
    <t>07/2313</t>
  </si>
  <si>
    <r>
      <rPr>
        <b/>
        <sz val="11"/>
        <color theme="1"/>
        <rFont val="Aptos Narrow"/>
        <family val="2"/>
        <scheme val="minor"/>
      </rPr>
      <t>SG AM</t>
    </r>
    <r>
      <rPr>
        <sz val="11"/>
        <color theme="1"/>
        <rFont val="Aptos Narrow"/>
        <family val="2"/>
        <scheme val="minor"/>
      </rPr>
      <t xml:space="preserve"> : TRAFFIC CONGESTION AT BOTH CHECKOINTS DUE TO AKPS PROCEDURE &amp; RANDOM CHECKING DONE BY ICA LED TO BUILD UP LONG QUEUE FOR CUSTOM CLEARANCE PROCESS.
</t>
    </r>
    <r>
      <rPr>
        <b/>
        <sz val="11"/>
        <color theme="1"/>
        <rFont val="Aptos Narrow"/>
        <family val="2"/>
        <scheme val="minor"/>
      </rPr>
      <t>SG PM</t>
    </r>
    <r>
      <rPr>
        <sz val="11"/>
        <color theme="1"/>
        <rFont val="Aptos Narrow"/>
        <family val="2"/>
        <scheme val="minor"/>
      </rPr>
      <t xml:space="preserve"> : SAME TRUCK DEPLOYED FOR SG AM &amp; SG PM SHIPMENT (VNB 3629 Khair). </t>
    </r>
  </si>
  <si>
    <t>8260099367, 8260099445, 8260099461, 8260099463</t>
  </si>
  <si>
    <t>8260099448, 8260099458, 8260099459</t>
  </si>
  <si>
    <t>8260099446, 8260099455, 8260099456</t>
  </si>
  <si>
    <t>8260099449, 8260099460</t>
  </si>
  <si>
    <t>08/1533</t>
  </si>
  <si>
    <t>08/1553</t>
  </si>
  <si>
    <t>08/2101</t>
  </si>
  <si>
    <t>08/2050</t>
  </si>
  <si>
    <t>8260099444, 8260099518, 8260099520, 8260099526, 8260099527</t>
  </si>
  <si>
    <t>8260099447, 8260099525</t>
  </si>
  <si>
    <t>8260099519, 8260099524</t>
  </si>
  <si>
    <t>TOTAL SHIPMENT</t>
  </si>
  <si>
    <t>ACHIEVED</t>
  </si>
  <si>
    <t>FAILED</t>
  </si>
  <si>
    <t>04/1820</t>
  </si>
  <si>
    <t>8260099172, 8260099173, 8260099174, 8260099175, 8260099176, 8260099178, 8260099236, 8260099237, 8260099239, 8260099240</t>
  </si>
  <si>
    <t>05/1822</t>
  </si>
  <si>
    <t>8260099312, 8260099314, 8260099317</t>
  </si>
  <si>
    <t>06/1835</t>
  </si>
  <si>
    <t>8260099376, 8260099378, 8260099380, 8260099381, 8260099383</t>
  </si>
  <si>
    <t>07/1753</t>
  </si>
  <si>
    <t>08/0020</t>
  </si>
  <si>
    <t>CZ PM = 22:13 EXIT TJ KUPANG TO TUAS. 22:52 EXIT TUAS CHECKPOINT. TRAFFIC CONGESTION AT TJ KUAPNG CHECKOINTS.</t>
  </si>
  <si>
    <t>8260099453, 8260099465, 8260099466, 8260099467</t>
  </si>
  <si>
    <t>8260099512, 8260099513</t>
  </si>
  <si>
    <t>08/1954</t>
  </si>
  <si>
    <t>8260099528, 8260099530, 8260099531, 8260099532, 8260099533, 8260099534, 8260099536</t>
  </si>
  <si>
    <t>05/0855</t>
  </si>
  <si>
    <t>05/0930</t>
  </si>
  <si>
    <t>05/1149</t>
  </si>
  <si>
    <t>05/1013</t>
  </si>
  <si>
    <t>05/0935</t>
  </si>
  <si>
    <t>05/1129</t>
  </si>
  <si>
    <t xml:space="preserve">8260099266
8260099267
8260099263
8260099260
</t>
  </si>
  <si>
    <t>8260099260
8260099263</t>
  </si>
  <si>
    <t>06/0857</t>
  </si>
  <si>
    <t>06/1020</t>
  </si>
  <si>
    <t>06/1157</t>
  </si>
  <si>
    <t>06/1115</t>
  </si>
  <si>
    <t>06/0925</t>
  </si>
  <si>
    <t>06/0844</t>
  </si>
  <si>
    <t>8260099335
8260099346
8260099341</t>
  </si>
  <si>
    <t>07/0911</t>
  </si>
  <si>
    <t>07/0910</t>
  </si>
  <si>
    <t>07/1018</t>
  </si>
  <si>
    <t>07/1055</t>
  </si>
  <si>
    <t>07/1054</t>
  </si>
  <si>
    <t>8260099406
8260099430</t>
  </si>
  <si>
    <t>8260099398
8260099426</t>
  </si>
  <si>
    <t>08/1000</t>
  </si>
  <si>
    <t>08/1039</t>
  </si>
  <si>
    <t>08/1049</t>
  </si>
  <si>
    <t>08/0830</t>
  </si>
  <si>
    <t>09/1256</t>
  </si>
  <si>
    <t>8260099495
8260099497
8260099504</t>
  </si>
  <si>
    <t>8260099496
8260099505</t>
  </si>
  <si>
    <t>09/0901</t>
  </si>
  <si>
    <t>09/0910</t>
  </si>
  <si>
    <t>09/0847</t>
  </si>
  <si>
    <t>09/0841</t>
  </si>
  <si>
    <t>8260099576
8260099567
8260099554</t>
  </si>
  <si>
    <t>8260099548
8260099562</t>
  </si>
  <si>
    <t>05/0706</t>
  </si>
  <si>
    <t>05/0703</t>
  </si>
  <si>
    <t>05/0918</t>
  </si>
  <si>
    <t>05/1005</t>
  </si>
  <si>
    <t>05/0910</t>
  </si>
  <si>
    <t>05/0610</t>
  </si>
  <si>
    <t>05/0644</t>
  </si>
  <si>
    <t>06/0819</t>
  </si>
  <si>
    <t>8260099269 8260099274</t>
  </si>
  <si>
    <t>06/0706</t>
  </si>
  <si>
    <t>06/0750</t>
  </si>
  <si>
    <t>06/0832</t>
  </si>
  <si>
    <t>06/0906</t>
  </si>
  <si>
    <t>06/0837</t>
  </si>
  <si>
    <t>06/0643</t>
  </si>
  <si>
    <t>06/0746</t>
  </si>
  <si>
    <t>06/0829</t>
  </si>
  <si>
    <t>8260099328 8260099347</t>
  </si>
  <si>
    <t>07/0757</t>
  </si>
  <si>
    <t>07/0649</t>
  </si>
  <si>
    <t>07/0808</t>
  </si>
  <si>
    <t>07/0858</t>
  </si>
  <si>
    <t>07/0838</t>
  </si>
  <si>
    <t>07/0609</t>
  </si>
  <si>
    <t>07/0806</t>
  </si>
  <si>
    <t>8260099417 8260099425</t>
  </si>
  <si>
    <t>08/0610</t>
  </si>
  <si>
    <t>08/0816</t>
  </si>
  <si>
    <t>08/0906</t>
  </si>
  <si>
    <t>08/0808</t>
  </si>
  <si>
    <t>08/0624</t>
  </si>
  <si>
    <t>08/0701</t>
  </si>
  <si>
    <t>08/0814</t>
  </si>
  <si>
    <t>8260099501 8260099510</t>
  </si>
  <si>
    <t>09/0726</t>
  </si>
  <si>
    <t>09/0635</t>
  </si>
  <si>
    <t>09/0846</t>
  </si>
  <si>
    <t>09/0920</t>
  </si>
  <si>
    <t>09/0734</t>
  </si>
  <si>
    <t>09/0658</t>
  </si>
  <si>
    <t>09/0837</t>
  </si>
  <si>
    <t>8260099575
8260099563</t>
  </si>
  <si>
    <t>05/0114</t>
  </si>
  <si>
    <t>05/0139</t>
  </si>
  <si>
    <t>05/0651</t>
  </si>
  <si>
    <t>05/0853</t>
  </si>
  <si>
    <t>05/0728</t>
  </si>
  <si>
    <t>05/0738</t>
  </si>
  <si>
    <t>05/0846</t>
  </si>
  <si>
    <t>8260099262 8260099286</t>
  </si>
  <si>
    <t>06/0558</t>
  </si>
  <si>
    <t>06/0907</t>
  </si>
  <si>
    <t>06/0938</t>
  </si>
  <si>
    <t>06/0623</t>
  </si>
  <si>
    <t>06/0809</t>
  </si>
  <si>
    <t>06/0802</t>
  </si>
  <si>
    <t>06/0650</t>
  </si>
  <si>
    <t>8260099342 8260099360</t>
  </si>
  <si>
    <t>07/0834</t>
  </si>
  <si>
    <t>07/0909</t>
  </si>
  <si>
    <t>07/0954</t>
  </si>
  <si>
    <t>07/1007</t>
  </si>
  <si>
    <t>07/0613</t>
  </si>
  <si>
    <t>07/0735</t>
  </si>
  <si>
    <t>07/0751</t>
  </si>
  <si>
    <t>8260099407 8260099141</t>
  </si>
  <si>
    <t>LATE DELIVERY TO DEALER ( 53924) DUE TO HEAVY TRAFFIC.</t>
  </si>
  <si>
    <t>08/0652</t>
  </si>
  <si>
    <t>08/0718</t>
  </si>
  <si>
    <t>08/0817</t>
  </si>
  <si>
    <t>08/0845</t>
  </si>
  <si>
    <t>08/0625</t>
  </si>
  <si>
    <t>11/0920</t>
  </si>
  <si>
    <t>08/0711</t>
  </si>
  <si>
    <t>8260099500 8260099502</t>
  </si>
  <si>
    <t>NOT DELIVERY TO SDM BALAKONG BECAUSE COMPANY EVENT.</t>
  </si>
  <si>
    <t>09/0719</t>
  </si>
  <si>
    <t>09/0758</t>
  </si>
  <si>
    <t>09/0746</t>
  </si>
  <si>
    <t>09/0822</t>
  </si>
  <si>
    <t>09/0813</t>
  </si>
  <si>
    <t>8260099549
8260099560</t>
  </si>
  <si>
    <t>05/0911</t>
  </si>
  <si>
    <t>05/1138</t>
  </si>
  <si>
    <t>05/1156</t>
  </si>
  <si>
    <t>05/1116</t>
  </si>
  <si>
    <t>05/1223</t>
  </si>
  <si>
    <t>06/0838</t>
  </si>
  <si>
    <t>06/1004</t>
  </si>
  <si>
    <t>07/1117</t>
  </si>
  <si>
    <t>06/1117</t>
  </si>
  <si>
    <t>06/1052</t>
  </si>
  <si>
    <t>06/1106</t>
  </si>
  <si>
    <t>06/1154</t>
  </si>
  <si>
    <t>8260099359, 8260099340</t>
  </si>
  <si>
    <t>07/0933</t>
  </si>
  <si>
    <t>07/1148</t>
  </si>
  <si>
    <t>07/1123</t>
  </si>
  <si>
    <t>07/1105</t>
  </si>
  <si>
    <t>07/1351</t>
  </si>
  <si>
    <t>8260099431, 8260099404</t>
  </si>
  <si>
    <t>08/0902</t>
  </si>
  <si>
    <t>08/1101</t>
  </si>
  <si>
    <t>08/1203</t>
  </si>
  <si>
    <t>08/1244</t>
  </si>
  <si>
    <t>08/1143</t>
  </si>
  <si>
    <t>08/1511</t>
  </si>
  <si>
    <t>8260099494, 8260099487</t>
  </si>
  <si>
    <t>09/0911</t>
  </si>
  <si>
    <t>09/0956</t>
  </si>
  <si>
    <t>09/0953</t>
  </si>
  <si>
    <t>09/1025</t>
  </si>
  <si>
    <t>09/1016</t>
  </si>
  <si>
    <t>11/1015</t>
  </si>
  <si>
    <t>8260099573, 8260099545</t>
  </si>
  <si>
    <t>MD SHAH / HISHAM</t>
  </si>
  <si>
    <t xml:space="preserve">09:27 : DEPART FROM IFL JB HUB. REPLACE TRUCK FARIZAL). </t>
  </si>
  <si>
    <t xml:space="preserve">JYS 3423 </t>
  </si>
  <si>
    <t>KLIA</t>
  </si>
  <si>
    <t>KAMAL / ISWARAN</t>
  </si>
  <si>
    <t>IMPORT FROM DGF. 09:20 : DEPART FROM IFL JB HUB</t>
  </si>
  <si>
    <t>ROUND TRIP FROM SG AM TO SG PM (SAME TRUCK).</t>
  </si>
  <si>
    <t>JRV 7638</t>
  </si>
  <si>
    <t>FAZRUL</t>
  </si>
  <si>
    <t>AIMAN BAGONG</t>
  </si>
  <si>
    <t>12:00 : DEPARTED FROM MELAKA</t>
  </si>
  <si>
    <t>ISMAIL / ANGAH</t>
  </si>
  <si>
    <t>IMPORT DGF. 08:36 DEPARTED FROM TJ KUPANG CHECKPOINT.</t>
  </si>
  <si>
    <t xml:space="preserve">09:34 DEPARTED FROM IFL JB HUB. </t>
  </si>
  <si>
    <t>ALIP / IPIN</t>
  </si>
  <si>
    <t>12:56 : DEPARTED FROM IFL JB HUB</t>
  </si>
  <si>
    <t>15:10 : DEPARTED FROM IFL JB HUB. REFUEL</t>
  </si>
  <si>
    <t>HAFIZAN / DANIEL</t>
  </si>
  <si>
    <t>16:24 DEPARTED FROM IFL JB HUB</t>
  </si>
  <si>
    <t>16:02 : DEPARTED FROM IFL JB HUB</t>
  </si>
  <si>
    <t>11/1536</t>
  </si>
  <si>
    <t>11/1608</t>
  </si>
  <si>
    <t>11/2300</t>
  </si>
  <si>
    <t>11/2225</t>
  </si>
  <si>
    <t>8260099593, 8260099597, 8260099598, 8260099601</t>
  </si>
  <si>
    <t>12/1505</t>
  </si>
  <si>
    <t>12/1534</t>
  </si>
  <si>
    <t>12/1542</t>
  </si>
  <si>
    <t>12/1618</t>
  </si>
  <si>
    <t>12/2133</t>
  </si>
  <si>
    <t>12/2116</t>
  </si>
  <si>
    <t>8260099594, 8260099667, 8260099672, 8260099673, 8260099675</t>
  </si>
  <si>
    <t>8260099669, 8260099676</t>
  </si>
  <si>
    <t>8260099670, 8260099678</t>
  </si>
  <si>
    <t>8260099671, 8260099677</t>
  </si>
  <si>
    <t>13/1418</t>
  </si>
  <si>
    <t>13/1441</t>
  </si>
  <si>
    <t>13/2138</t>
  </si>
  <si>
    <t>13/2119</t>
  </si>
  <si>
    <t xml:space="preserve">8260099745, 8260099750, 8260099752, </t>
  </si>
  <si>
    <t>8260099668, 8260099749</t>
  </si>
  <si>
    <t>8260099747, 8260099751</t>
  </si>
  <si>
    <t>14/1636</t>
  </si>
  <si>
    <t>14/1707</t>
  </si>
  <si>
    <t>14/1525</t>
  </si>
  <si>
    <t>14/1548</t>
  </si>
  <si>
    <t>14/2101</t>
  </si>
  <si>
    <t>14/2033</t>
  </si>
  <si>
    <t>8260099746, 8260099834, 8260099838, 8260099848, 8260099850</t>
  </si>
  <si>
    <t>8260099748, 8260099837, 8260099846, 8260099847</t>
  </si>
  <si>
    <t>8260099836, 8260099845</t>
  </si>
  <si>
    <t>8260099839, 8260099851</t>
  </si>
  <si>
    <t>8260099910, 8260099911</t>
  </si>
  <si>
    <t>15/1652</t>
  </si>
  <si>
    <t>15/1715</t>
  </si>
  <si>
    <t>15/2041</t>
  </si>
  <si>
    <t>15/2019</t>
  </si>
  <si>
    <t>8260099835, 8260099912, 8260099914, 8260099921, 8260099923</t>
  </si>
  <si>
    <t>11/1920</t>
  </si>
  <si>
    <t>8260099604, 8260099605, 8260099606, 8260099607, 8260099609</t>
  </si>
  <si>
    <t>12/1829</t>
  </si>
  <si>
    <t>8260099451, 8260099452, 8260099454, 8260099457, 8260099684, 8260099686, 8260099687</t>
  </si>
  <si>
    <t>13/1806</t>
  </si>
  <si>
    <t>8260099755, 8260099759, 8260099760, 8260099762, 8260099764, 8260099765</t>
  </si>
  <si>
    <t>14/1951</t>
  </si>
  <si>
    <t>14/2131</t>
  </si>
  <si>
    <t>8260099856, 8260099857</t>
  </si>
  <si>
    <t>8260099906, 8260099907</t>
  </si>
  <si>
    <t>15/1829</t>
  </si>
  <si>
    <t>8260099925, 8260099926, 8260099927, 8260099928, 8260099929, 8260099930</t>
  </si>
  <si>
    <t>12/0931</t>
  </si>
  <si>
    <t>12/1030</t>
  </si>
  <si>
    <t>12/1049</t>
  </si>
  <si>
    <t>12/0949</t>
  </si>
  <si>
    <t>12/0945</t>
  </si>
  <si>
    <t xml:space="preserve"> DRIVER (WB 6864 Q DIN ) ARRIVE BEFORE 0930 BUT WAITING FOR ANOTHER TRUCK PICKUP REYCLE  COLLECTION AT SDM SKUDAI</t>
  </si>
  <si>
    <t>8260099657
8260099637
8260099627</t>
  </si>
  <si>
    <t>8260099629
8260099636</t>
  </si>
  <si>
    <t>13/0934</t>
  </si>
  <si>
    <t>13/1030</t>
  </si>
  <si>
    <t>13/1102</t>
  </si>
  <si>
    <t>13/1057</t>
  </si>
  <si>
    <t>13/0829</t>
  </si>
  <si>
    <t xml:space="preserve">DRIVER (JRJ 7321 IRUL ) GOT STUCK AT TRAFIK JEM </t>
  </si>
  <si>
    <t>8260099728
8260099718
8260099707</t>
  </si>
  <si>
    <t>8260099706
8260099729</t>
  </si>
  <si>
    <t>14/0857</t>
  </si>
  <si>
    <t>14/1000</t>
  </si>
  <si>
    <t>14/1107</t>
  </si>
  <si>
    <t>14/1147</t>
  </si>
  <si>
    <t>14/0905</t>
  </si>
  <si>
    <t>14/1313</t>
  </si>
  <si>
    <t>8260099822
8260099792
8260099790</t>
  </si>
  <si>
    <t>8260099804
8260099794</t>
  </si>
  <si>
    <t>15/0858</t>
  </si>
  <si>
    <t>15/0945</t>
  </si>
  <si>
    <t>15/0851</t>
  </si>
  <si>
    <t>15/0951</t>
  </si>
  <si>
    <t>16/1215</t>
  </si>
  <si>
    <t>8260099872
8260099886
8260099905</t>
  </si>
  <si>
    <t>8260099902
8260099888</t>
  </si>
  <si>
    <t>16/0805</t>
  </si>
  <si>
    <t>16/0845</t>
  </si>
  <si>
    <t>16/1017</t>
  </si>
  <si>
    <t>16/0901</t>
  </si>
  <si>
    <t>8260099952
8260099954
8260099968</t>
  </si>
  <si>
    <t>12/0759</t>
  </si>
  <si>
    <t>12/0742</t>
  </si>
  <si>
    <t>12/0922</t>
  </si>
  <si>
    <t>12/0936</t>
  </si>
  <si>
    <t>12/0610</t>
  </si>
  <si>
    <t>12/0659</t>
  </si>
  <si>
    <t>8260099643 8260099645</t>
  </si>
  <si>
    <t>13/0856</t>
  </si>
  <si>
    <t>13/0705</t>
  </si>
  <si>
    <t>13/0910</t>
  </si>
  <si>
    <t>13/1013</t>
  </si>
  <si>
    <t>13/0920</t>
  </si>
  <si>
    <t>13/0623</t>
  </si>
  <si>
    <t>13/0700</t>
  </si>
  <si>
    <t>13/0807</t>
  </si>
  <si>
    <t>LATE DELIVERY TO DEALER ((41630) DUE TO DRIVER DID NOT FOLLOW THE ASSIGNED DELIVERY SEQUENCE INSTRUCTED BY THE OPERATION TEAM (FAZRUL)</t>
  </si>
  <si>
    <t>8260099708 8260099732</t>
  </si>
  <si>
    <t>14/0821</t>
  </si>
  <si>
    <t>14/0609</t>
  </si>
  <si>
    <t>14/0852</t>
  </si>
  <si>
    <t>14/0919</t>
  </si>
  <si>
    <t>14/0901</t>
  </si>
  <si>
    <t>14/0607</t>
  </si>
  <si>
    <t>8260099812 8260099814</t>
  </si>
  <si>
    <t>15/0545</t>
  </si>
  <si>
    <t>15/0803</t>
  </si>
  <si>
    <t>15/0913</t>
  </si>
  <si>
    <t>15/1021</t>
  </si>
  <si>
    <t>15/0928</t>
  </si>
  <si>
    <t>15/0558</t>
  </si>
  <si>
    <t>15/0819</t>
  </si>
  <si>
    <t>15/0713</t>
  </si>
  <si>
    <t>15/0740</t>
  </si>
  <si>
    <t>8260099885 8260099884</t>
  </si>
  <si>
    <t>16/0818</t>
  </si>
  <si>
    <t>16/1025</t>
  </si>
  <si>
    <t>16/0903</t>
  </si>
  <si>
    <t>16/0757</t>
  </si>
  <si>
    <t>16/0930</t>
  </si>
  <si>
    <t>Dealer 53929 - Driver lambat gerak dari KL hub. (MAZLAN)</t>
  </si>
  <si>
    <t>8260099974
8260099976</t>
  </si>
  <si>
    <t>12/0508</t>
  </si>
  <si>
    <t>12/0534</t>
  </si>
  <si>
    <t>12/0641</t>
  </si>
  <si>
    <t>12/0843</t>
  </si>
  <si>
    <t>12/0618</t>
  </si>
  <si>
    <t>12/0818</t>
  </si>
  <si>
    <t>12/0855</t>
  </si>
  <si>
    <t>12/0727</t>
  </si>
  <si>
    <t>8260099647 8260099649</t>
  </si>
  <si>
    <t>13/0612</t>
  </si>
  <si>
    <t>13/0626</t>
  </si>
  <si>
    <t>13/0935</t>
  </si>
  <si>
    <t>13/1000</t>
  </si>
  <si>
    <t>13/0615</t>
  </si>
  <si>
    <t>13/0613</t>
  </si>
  <si>
    <t>13/0850</t>
  </si>
  <si>
    <t>13/0758</t>
  </si>
  <si>
    <t>8260099713 8260099734</t>
  </si>
  <si>
    <t>14/0632</t>
  </si>
  <si>
    <t>14/0653</t>
  </si>
  <si>
    <t>14/0746</t>
  </si>
  <si>
    <t>14/0838</t>
  </si>
  <si>
    <t>14/0816</t>
  </si>
  <si>
    <t>14/0832</t>
  </si>
  <si>
    <t>14/0904</t>
  </si>
  <si>
    <t>8260099803 8260099819</t>
  </si>
  <si>
    <t>15/0618</t>
  </si>
  <si>
    <t>15/0643</t>
  </si>
  <si>
    <t>15/0853</t>
  </si>
  <si>
    <t>15/0916</t>
  </si>
  <si>
    <t>15/0617</t>
  </si>
  <si>
    <t>15/0835</t>
  </si>
  <si>
    <t>15/0919</t>
  </si>
  <si>
    <t>8260099904 8260099899</t>
  </si>
  <si>
    <t>16/0823</t>
  </si>
  <si>
    <t>16/0850</t>
  </si>
  <si>
    <t>16/0931</t>
  </si>
  <si>
    <t>16/0949</t>
  </si>
  <si>
    <t>16/0817</t>
  </si>
  <si>
    <t>16/0838</t>
  </si>
  <si>
    <t>16/0608</t>
  </si>
  <si>
    <t>8260099966
8260099945</t>
  </si>
  <si>
    <t>12/0858</t>
  </si>
  <si>
    <t>12/1045</t>
  </si>
  <si>
    <t>12/1139</t>
  </si>
  <si>
    <t>12/1105</t>
  </si>
  <si>
    <t>12/1119</t>
  </si>
  <si>
    <t>12/1104</t>
  </si>
  <si>
    <t>8260099654, 8260099646</t>
  </si>
  <si>
    <t>13/0908</t>
  </si>
  <si>
    <t>13/1037</t>
  </si>
  <si>
    <t>13/1047</t>
  </si>
  <si>
    <t>13/1031</t>
  </si>
  <si>
    <t>13/1314</t>
  </si>
  <si>
    <t>8260099711, 8260099714</t>
  </si>
  <si>
    <t>14/0942</t>
  </si>
  <si>
    <t>14/1058</t>
  </si>
  <si>
    <t>14/1057</t>
  </si>
  <si>
    <t>14/1038</t>
  </si>
  <si>
    <t>14/1006</t>
  </si>
  <si>
    <t>8260099797, 8260099795</t>
  </si>
  <si>
    <t>15/0940</t>
  </si>
  <si>
    <t>15/1158</t>
  </si>
  <si>
    <t>15/1240</t>
  </si>
  <si>
    <t>15/1213</t>
  </si>
  <si>
    <t>15/1222</t>
  </si>
  <si>
    <t>15/1420</t>
  </si>
  <si>
    <t>8260099870, 8260099881</t>
  </si>
  <si>
    <t>16/0858</t>
  </si>
  <si>
    <t>16/0955</t>
  </si>
  <si>
    <t>16/1107</t>
  </si>
  <si>
    <t>16/1036</t>
  </si>
  <si>
    <t>8260099949, 8260099962</t>
  </si>
  <si>
    <t>LATE DUE TO RAIN OTW TO PDC.</t>
  </si>
  <si>
    <t>15:20 : DEPART FROM IFL JB HUB</t>
  </si>
  <si>
    <t>ZAINAL</t>
  </si>
  <si>
    <t xml:space="preserve">17.10 : DEPART FROM IFL JB HUB. ADDITIONAL TRUCK. </t>
  </si>
  <si>
    <t>VICKY / ANGAH</t>
  </si>
  <si>
    <t>09:20 : DEPART FROM IFL JB HUB</t>
  </si>
  <si>
    <t>14:43 - DEPART FROM IFL JB HUB &amp; STOP FOR REFUELING.</t>
  </si>
  <si>
    <t>JTT 5856</t>
  </si>
  <si>
    <t>ISA</t>
  </si>
  <si>
    <t>LCL-KD</t>
  </si>
  <si>
    <t>HAFIZAN / SANI</t>
  </si>
  <si>
    <t>SAZALI / AGUS</t>
  </si>
  <si>
    <t>YUNUS</t>
  </si>
  <si>
    <t>ADD TRUCK. 16:27 - OUT FROM TJ KUPANG &amp; 17:05 - DEPART FROM IFL JB HUB.</t>
  </si>
  <si>
    <t>13:12 - DEPART FROM IFL JB HUB</t>
  </si>
  <si>
    <t>SAZALI / ACAP</t>
  </si>
  <si>
    <t xml:space="preserve">FAZLY </t>
  </si>
  <si>
    <t>FROM SG. 15:06 - OUT FROM TJ KUPANG. 15:43 - DEPART FROM IFL JB HUB</t>
  </si>
  <si>
    <t>FROM SG. 14:49 - OUT FROM TJ KUPANG. 16:00 - DEPART FROM IFL JB HUB.</t>
  </si>
  <si>
    <t>JWM 5077</t>
  </si>
  <si>
    <t>PYDAUS/DAUD</t>
  </si>
  <si>
    <t>18/1438</t>
  </si>
  <si>
    <t>18/1537</t>
  </si>
  <si>
    <t>18/1538</t>
  </si>
  <si>
    <t>18/2206</t>
  </si>
  <si>
    <t>18/2146</t>
  </si>
  <si>
    <t>8260099987, 8260099991, 8260099993</t>
  </si>
  <si>
    <t>8260099988, 8260099990</t>
  </si>
  <si>
    <t>8260099913, 8260099992</t>
  </si>
  <si>
    <t>19/1558</t>
  </si>
  <si>
    <t>19/1638</t>
  </si>
  <si>
    <t>19/1552</t>
  </si>
  <si>
    <t>19/1635</t>
  </si>
  <si>
    <t>19/2242</t>
  </si>
  <si>
    <t>19/2220</t>
  </si>
  <si>
    <t>8260099989, 8260100062, 8260100067, 8260100069, 8260100070</t>
  </si>
  <si>
    <t>8260100064, 8260100065</t>
  </si>
  <si>
    <t>8260100063, 8260100068</t>
  </si>
  <si>
    <t>20/1539</t>
  </si>
  <si>
    <t>20/1626</t>
  </si>
  <si>
    <t>20/2101</t>
  </si>
  <si>
    <t>20/2042</t>
  </si>
  <si>
    <t>8260100132, 8260100134, 8260100135, 8260100137</t>
  </si>
  <si>
    <t>8260100138, 8260100139</t>
  </si>
  <si>
    <t>8260100133, 8260100136</t>
  </si>
  <si>
    <t>21/1346</t>
  </si>
  <si>
    <t>21/1409</t>
  </si>
  <si>
    <t>21/1411</t>
  </si>
  <si>
    <t>21/1449</t>
  </si>
  <si>
    <t>21/1529</t>
  </si>
  <si>
    <t>21/2138</t>
  </si>
  <si>
    <t>21/2127</t>
  </si>
  <si>
    <t>8260100208, 8260100219, 8260100221</t>
  </si>
  <si>
    <t>8260100210, 8260100220</t>
  </si>
  <si>
    <t>18/1849</t>
  </si>
  <si>
    <t>8260099840, 8260099841, 8260099842, 8260099843, 8260099844, 8260100000, 8260100001, 8260100002, 8260100003, 8260100005</t>
  </si>
  <si>
    <t>19/1812</t>
  </si>
  <si>
    <t>8260100073, 8260100076, 8260100077, 8260100078</t>
  </si>
  <si>
    <t>20/1854</t>
  </si>
  <si>
    <t>20/1427</t>
  </si>
  <si>
    <t>8260100128, 8260100145, 8260100146, 8260100147, 8260100148</t>
  </si>
  <si>
    <t>21/1834</t>
  </si>
  <si>
    <t>21/2125</t>
  </si>
  <si>
    <t>8260100214, 8260100225, 8260100227</t>
  </si>
  <si>
    <t>8260100277, 8260100278, 8260100279</t>
  </si>
  <si>
    <t>19/0903</t>
  </si>
  <si>
    <t>19/0910</t>
  </si>
  <si>
    <t>19/0836</t>
  </si>
  <si>
    <t>19/1225</t>
  </si>
  <si>
    <t>19/0943</t>
  </si>
  <si>
    <t>19/1101</t>
  </si>
  <si>
    <t>8260100025
8260100029
8260100048</t>
  </si>
  <si>
    <t>8260100021
8260100044</t>
  </si>
  <si>
    <t>20/0917</t>
  </si>
  <si>
    <t>20/1010</t>
  </si>
  <si>
    <t>20/0829</t>
  </si>
  <si>
    <t>20/1115</t>
  </si>
  <si>
    <t>20/0935</t>
  </si>
  <si>
    <t>20/1423</t>
  </si>
  <si>
    <t>8260100096
8260100098
8260100102</t>
  </si>
  <si>
    <t>21/0844</t>
  </si>
  <si>
    <t>21/1246</t>
  </si>
  <si>
    <t>21/1040</t>
  </si>
  <si>
    <t>21/0904</t>
  </si>
  <si>
    <t>8260100184
8260100186</t>
  </si>
  <si>
    <t>22/0928</t>
  </si>
  <si>
    <t>22/0944</t>
  </si>
  <si>
    <t>22/1141</t>
  </si>
  <si>
    <t>22/1157</t>
  </si>
  <si>
    <t>8260100253
8260100255
8260100252</t>
  </si>
  <si>
    <t>23/0831</t>
  </si>
  <si>
    <t>23/1001</t>
  </si>
  <si>
    <t>23/0958</t>
  </si>
  <si>
    <t>8260100328
8260100331
8260100343</t>
  </si>
  <si>
    <t>19/0636</t>
  </si>
  <si>
    <t>19/0913</t>
  </si>
  <si>
    <t>19/0945</t>
  </si>
  <si>
    <t>19/1021</t>
  </si>
  <si>
    <t>19/0732</t>
  </si>
  <si>
    <t>19/0602</t>
  </si>
  <si>
    <t>19/0704</t>
  </si>
  <si>
    <t>LATE DELIVERY TO DEALER (25329,27303) DUE TO DRIVER DEPART LATE FROM THE HUB .</t>
  </si>
  <si>
    <t>8260100023 8260100054</t>
  </si>
  <si>
    <t>20/633</t>
  </si>
  <si>
    <t>20/0817</t>
  </si>
  <si>
    <t>20/0854</t>
  </si>
  <si>
    <t>20/1017</t>
  </si>
  <si>
    <t>20/0837</t>
  </si>
  <si>
    <t>20/0621</t>
  </si>
  <si>
    <t>20/0708</t>
  </si>
  <si>
    <t>20/0805</t>
  </si>
  <si>
    <t>8260100108 8260100116</t>
  </si>
  <si>
    <t>21/0639</t>
  </si>
  <si>
    <t>21/0710</t>
  </si>
  <si>
    <t>21/0915</t>
  </si>
  <si>
    <t>21/0846</t>
  </si>
  <si>
    <t>21/0857</t>
  </si>
  <si>
    <t>21/0636</t>
  </si>
  <si>
    <t>21/0735</t>
  </si>
  <si>
    <t>8260100187 8260100189</t>
  </si>
  <si>
    <t>22/0637</t>
  </si>
  <si>
    <t>22/0851</t>
  </si>
  <si>
    <t>22/0913</t>
  </si>
  <si>
    <t>22/0848</t>
  </si>
  <si>
    <t>22/0537</t>
  </si>
  <si>
    <t>22/0627</t>
  </si>
  <si>
    <t>22/0846</t>
  </si>
  <si>
    <t>8260100248 8260100273</t>
  </si>
  <si>
    <t>8260100349 8260100354</t>
  </si>
  <si>
    <t>19/0635</t>
  </si>
  <si>
    <t>19/0701</t>
  </si>
  <si>
    <t>19/0758</t>
  </si>
  <si>
    <t>19/1106</t>
  </si>
  <si>
    <t>19/0614</t>
  </si>
  <si>
    <t>19/0831</t>
  </si>
  <si>
    <t>19/0842</t>
  </si>
  <si>
    <t>19/1005</t>
  </si>
  <si>
    <t>8260100026 8260100030</t>
  </si>
  <si>
    <t>20/0628</t>
  </si>
  <si>
    <t>20/0703</t>
  </si>
  <si>
    <t>20/0759</t>
  </si>
  <si>
    <t>20/0841</t>
  </si>
  <si>
    <t>20/0618</t>
  </si>
  <si>
    <t>20/0735</t>
  </si>
  <si>
    <t>20/0847</t>
  </si>
  <si>
    <t>20/0705</t>
  </si>
  <si>
    <t>8260100097 8260100100</t>
  </si>
  <si>
    <t>21/0606</t>
  </si>
  <si>
    <t>21/0631</t>
  </si>
  <si>
    <t>21/0744</t>
  </si>
  <si>
    <t>21/0841</t>
  </si>
  <si>
    <t>21/0715</t>
  </si>
  <si>
    <t>21/0851</t>
  </si>
  <si>
    <t>21/0834</t>
  </si>
  <si>
    <t>21/0716</t>
  </si>
  <si>
    <t>8260100176 8260100197</t>
  </si>
  <si>
    <t>22/0655</t>
  </si>
  <si>
    <t>22/0837</t>
  </si>
  <si>
    <t>22/0905</t>
  </si>
  <si>
    <t>22/0626</t>
  </si>
  <si>
    <t>22/0734</t>
  </si>
  <si>
    <t>22/0733</t>
  </si>
  <si>
    <t>8260100246 8260100263</t>
  </si>
  <si>
    <t>8260100342 8260100345</t>
  </si>
  <si>
    <t>19/0920</t>
  </si>
  <si>
    <t>19/1103</t>
  </si>
  <si>
    <t>19/1010</t>
  </si>
  <si>
    <t>19/0946</t>
  </si>
  <si>
    <t>19/0956</t>
  </si>
  <si>
    <t>19/1227</t>
  </si>
  <si>
    <t>8260100032, 8260100047</t>
  </si>
  <si>
    <t>20/0855</t>
  </si>
  <si>
    <t>20/1016</t>
  </si>
  <si>
    <t>20/1156</t>
  </si>
  <si>
    <t>20/1124</t>
  </si>
  <si>
    <t>20/1141</t>
  </si>
  <si>
    <t>20/1216</t>
  </si>
  <si>
    <t>8260100093, 8260100118</t>
  </si>
  <si>
    <t>21/0919</t>
  </si>
  <si>
    <t>21/1033</t>
  </si>
  <si>
    <t>21/1031</t>
  </si>
  <si>
    <t>21/1005</t>
  </si>
  <si>
    <t>21/1017</t>
  </si>
  <si>
    <t>21/1250</t>
  </si>
  <si>
    <t>8260100170, 8260100171</t>
  </si>
  <si>
    <t>22/0940</t>
  </si>
  <si>
    <t>22/1149</t>
  </si>
  <si>
    <t>22/1245</t>
  </si>
  <si>
    <t>22/1200</t>
  </si>
  <si>
    <t>22/1219</t>
  </si>
  <si>
    <t>22/1510</t>
  </si>
  <si>
    <t>23/0923</t>
  </si>
  <si>
    <t>23/1037</t>
  </si>
  <si>
    <t>23/1010</t>
  </si>
  <si>
    <t>23/1022</t>
  </si>
  <si>
    <t>8260100329, 8260100334</t>
  </si>
  <si>
    <t>S/N</t>
  </si>
  <si>
    <t>C/W</t>
  </si>
  <si>
    <t>Invoice Date</t>
  </si>
  <si>
    <t>Delivery Date</t>
  </si>
  <si>
    <t>Deliver to</t>
  </si>
  <si>
    <t>Truck</t>
  </si>
  <si>
    <t>Driver / Attendant</t>
  </si>
  <si>
    <t>PML / EKA / EKH</t>
  </si>
  <si>
    <t>MY-JB</t>
  </si>
  <si>
    <t>SDM SKUDAI</t>
  </si>
  <si>
    <t>ES / GA</t>
  </si>
  <si>
    <t>JRS 6731</t>
  </si>
  <si>
    <t>MY-IPH</t>
  </si>
  <si>
    <t>LEE MOTOR</t>
  </si>
  <si>
    <t>APB 4806</t>
  </si>
  <si>
    <t>MUS</t>
  </si>
  <si>
    <t>SDM TEBRAU</t>
  </si>
  <si>
    <t>MW BP</t>
  </si>
  <si>
    <t xml:space="preserve">WB 6864 Q </t>
  </si>
  <si>
    <t>DIN / JOY</t>
  </si>
  <si>
    <t>MW KUANTAN</t>
  </si>
  <si>
    <t>ISMA / JOY</t>
  </si>
  <si>
    <t>MY-KL</t>
  </si>
  <si>
    <t>KING HUP S.ALAM</t>
  </si>
  <si>
    <t>APB 4782</t>
  </si>
  <si>
    <t>SDM SG TENGAH</t>
  </si>
  <si>
    <t>JRK 4188</t>
  </si>
  <si>
    <t>ZULKIFLI</t>
  </si>
  <si>
    <t>SDM JLN ANSON</t>
  </si>
  <si>
    <t>MW JLN KUCHING</t>
  </si>
  <si>
    <t>MW SEREMBAN</t>
  </si>
  <si>
    <t>JSL 1400</t>
  </si>
  <si>
    <t>YAFIK</t>
  </si>
  <si>
    <t>GA</t>
  </si>
  <si>
    <t>MW KT</t>
  </si>
  <si>
    <t>T.S IPOH</t>
  </si>
  <si>
    <t>FADHIL / DAUD</t>
  </si>
  <si>
    <t>SDM BALAKONG</t>
  </si>
  <si>
    <t>IRUL / ZULHADI</t>
  </si>
  <si>
    <t xml:space="preserve">SDM ARA </t>
  </si>
  <si>
    <t>EK</t>
  </si>
  <si>
    <t>SDM SG BESI</t>
  </si>
  <si>
    <t>APB 4853</t>
  </si>
  <si>
    <t>MUSLEYADEE</t>
  </si>
  <si>
    <t>SDM CSL</t>
  </si>
  <si>
    <t>IFL INTERNAL KPI Achievement Report 2026</t>
  </si>
  <si>
    <t>KPI Target: 98.5%</t>
  </si>
  <si>
    <t>April 2026</t>
  </si>
  <si>
    <t>May 2026</t>
  </si>
  <si>
    <t>CW14</t>
  </si>
  <si>
    <t>CW15</t>
  </si>
  <si>
    <t>CW16</t>
  </si>
  <si>
    <t>CW17</t>
  </si>
  <si>
    <t>CW18</t>
  </si>
  <si>
    <t>CW19</t>
  </si>
  <si>
    <t>CW20</t>
  </si>
  <si>
    <t>CW21</t>
  </si>
  <si>
    <t>CW22</t>
  </si>
  <si>
    <t>JB Hub - Singapore</t>
  </si>
  <si>
    <t>No. of shipments</t>
  </si>
  <si>
    <t>Achieved</t>
  </si>
  <si>
    <t>Not Achieved</t>
  </si>
  <si>
    <t>KPI</t>
  </si>
  <si>
    <t>JB Hub - Singapore CZ/KD</t>
  </si>
  <si>
    <t>JB Hub - Southern/East Coast</t>
  </si>
  <si>
    <t>KL Hub - Central</t>
  </si>
  <si>
    <t>Ipoh Hub - Northern</t>
  </si>
  <si>
    <t>Total No. of Shipments</t>
  </si>
  <si>
    <t>Total Shipments Not Achieved</t>
  </si>
  <si>
    <t>Total KPI Achieved</t>
  </si>
  <si>
    <t>23/1321</t>
  </si>
  <si>
    <t>23/0955</t>
  </si>
  <si>
    <t>23/0718</t>
  </si>
  <si>
    <t>23/0704</t>
  </si>
  <si>
    <t>23/0837</t>
  </si>
  <si>
    <t>23/0751</t>
  </si>
  <si>
    <t>23/0932</t>
  </si>
  <si>
    <t>23/0833</t>
  </si>
  <si>
    <t>LATE DELIVERY TO DEALER (53929) DUE TO HEAVY TRAFFIC .</t>
  </si>
  <si>
    <t>23/0637</t>
  </si>
  <si>
    <t>23/0655</t>
  </si>
  <si>
    <t>23/0800</t>
  </si>
  <si>
    <t>23/0933</t>
  </si>
  <si>
    <t>23/0742</t>
  </si>
  <si>
    <t>23/0728</t>
  </si>
  <si>
    <t>23/0905</t>
  </si>
  <si>
    <t>23/0810</t>
  </si>
  <si>
    <t>8260100292, 8260100295, 8260100300, 8260100301</t>
  </si>
  <si>
    <t>22/1554</t>
  </si>
  <si>
    <t>21/2053</t>
  </si>
  <si>
    <t>8260100209, 8260100297, 8260100299</t>
  </si>
  <si>
    <t>22/1628</t>
  </si>
  <si>
    <t>21/2014</t>
  </si>
  <si>
    <t>8260100294, 8260100298</t>
  </si>
  <si>
    <t>TRAFFIC CONGESTION AT BOTH CHECKOINTS DUE TO AKPS PROCEDURE &amp; RANDOM CHECKING DONE BY ICA LED TO BUILD UP LONG QUEUE FOR CUSTOM CLEARANCE PROCESS.
TRUCK WAS SELECTED FOR RANDOM CHECKING BY ICA.</t>
  </si>
  <si>
    <t>8260100305, 8260100307, 8260100308, 8260100310, 8260100311, 8260100312</t>
  </si>
  <si>
    <t>22/1911</t>
  </si>
  <si>
    <t>8260100323
8260100337</t>
  </si>
  <si>
    <t>DEALER CLOSED DUE TO STATE HOLIDAY ON FRIDAY, 22/05/2026 (HARI HOL PAHANG).</t>
  </si>
  <si>
    <t>15:44 - DEPART FROM IFL JB HUB</t>
  </si>
  <si>
    <t>25/0900</t>
  </si>
  <si>
    <t xml:space="preserve">JRT 4341 </t>
  </si>
  <si>
    <t>FAZLY / IZZAT</t>
  </si>
  <si>
    <t>ISA / AGUS</t>
  </si>
  <si>
    <t>AIMAN BAGONG / ACAP</t>
  </si>
  <si>
    <t>8260100211, 8260100212, 8260100213, 8260100215, 8260100216, 8260100217, 8260100383, 8260100386, 8260100387, 8260100388, 8260100389</t>
  </si>
  <si>
    <t>FARIZAL / IZZAT</t>
  </si>
  <si>
    <t>TARMIZI</t>
  </si>
  <si>
    <t>NO SHIPMENT DUE TO BMW SYSTEM DOWN &amp; SENAI CUSTOM CLOSE AT 5:30PM.</t>
  </si>
  <si>
    <t>TRADEWEB SYSTEM FOR SG PERMIT DECLARATION WAS DOWN AND RESOLVED AT 11:30AM. THIS LED TO LATE TRUCK OUT FROM SENAI CUSTOM &amp; LATE TRUCK ARRIVE AT DEALER.</t>
  </si>
  <si>
    <t>8260100296, 8260100373, 8260100376, 8260100378, 8260100379</t>
  </si>
  <si>
    <t>25/1548</t>
  </si>
  <si>
    <t>25/2045</t>
  </si>
  <si>
    <t>8260100293, 8260100375, 8260100380, 8260100381</t>
  </si>
  <si>
    <t>8260100404, 8260100405</t>
  </si>
  <si>
    <t>25/2014</t>
  </si>
  <si>
    <t>25/1606</t>
  </si>
  <si>
    <t>9:44 - DEPART FROM IFL JB HUB.</t>
  </si>
  <si>
    <t>11:52 - DEPART FROM IFL JB HUB</t>
  </si>
  <si>
    <t>REPLACE WVD4968.</t>
  </si>
  <si>
    <t>25/2008</t>
  </si>
  <si>
    <t>8260100425, 8260100427, 8260100453</t>
  </si>
  <si>
    <t xml:space="preserve">JYS 7658 </t>
  </si>
  <si>
    <t>JSS 1674</t>
  </si>
  <si>
    <t>NO SHIPMENT (HARI RAYA AIDILADHA)</t>
  </si>
  <si>
    <t>8260100457 8260100475</t>
  </si>
  <si>
    <t>8260100434 8260100459</t>
  </si>
  <si>
    <t>RETROFIT &amp; SG AM</t>
  </si>
  <si>
    <t>10:06 - FROM JALAN KEMPAS 1</t>
  </si>
  <si>
    <t xml:space="preserve">8260100410, 8260100417, 8260100418 </t>
  </si>
  <si>
    <t>8260100481, 8260100482</t>
  </si>
  <si>
    <t>26/1448</t>
  </si>
  <si>
    <t>26/2153</t>
  </si>
  <si>
    <t>8260100374, 8260100412, 8260100419</t>
  </si>
  <si>
    <t>26/1653</t>
  </si>
  <si>
    <t>26/2138</t>
  </si>
  <si>
    <t>8260100411, 8260100415</t>
  </si>
  <si>
    <t>8260100413, 8260100420</t>
  </si>
  <si>
    <t>26/1551</t>
  </si>
  <si>
    <t>8260100414, 8260100416</t>
  </si>
  <si>
    <t>26/1706</t>
  </si>
  <si>
    <t>Retrofit (Benoi Sector)</t>
  </si>
  <si>
    <t>26/1454</t>
  </si>
  <si>
    <t>IMPORT DGF. 10:17 - DEPART FROM IFL JB HUB</t>
  </si>
  <si>
    <t>26/2019</t>
  </si>
  <si>
    <t>NO SHIPMENT DUE TO PUBLIC HOLIDAY (HARI RAYA AIDILADHA)</t>
  </si>
  <si>
    <t>BMW SYSTEM DOWN LED TO LATE TRUCK OUT FROM PDC.</t>
  </si>
  <si>
    <t>THERE IS AN ADDITIONAL INVOICE (BRUNEI) AND TU CLOSED AT 3PM.</t>
  </si>
  <si>
    <t>RETROFIT &amp; EK</t>
  </si>
  <si>
    <t>ANGAH / DANIEL</t>
  </si>
  <si>
    <t>8260100533 8260100542</t>
  </si>
  <si>
    <t>8260100522 8260100544</t>
  </si>
  <si>
    <t>8260100485, 8260100493, 8260100497, 8260100498</t>
  </si>
  <si>
    <t>8260100550, 8260100551</t>
  </si>
  <si>
    <t>28/1429</t>
  </si>
  <si>
    <t>28/2219</t>
  </si>
  <si>
    <t>28/1511</t>
  </si>
  <si>
    <t>8260100486, 8260100491, 8260100492</t>
  </si>
  <si>
    <t>8260100547, 8260100548</t>
  </si>
  <si>
    <t>28/2154</t>
  </si>
  <si>
    <t>28/1454</t>
  </si>
  <si>
    <t>28/1527</t>
  </si>
  <si>
    <t>8260100484, 8260100499, 8260100502</t>
  </si>
  <si>
    <t>8260100545, 8260100546</t>
  </si>
  <si>
    <t>JWJ 2497</t>
  </si>
  <si>
    <t>HASRUL</t>
  </si>
  <si>
    <t xml:space="preserve">PRL 6851 </t>
  </si>
  <si>
    <t>28/1806</t>
  </si>
  <si>
    <t>15:13 - DEPART FROM IFL JB HUB</t>
  </si>
  <si>
    <t>IMPORT FROM SG. 13:09 - OUT TJ KUPANG. 16:53 - FROM TEBRAU</t>
  </si>
  <si>
    <t xml:space="preserve">FROM SG. 14:30 - OUT TJ KUPANG. 17:07 - DEPART FROM IFL JB HUB. </t>
  </si>
  <si>
    <t>28/2044</t>
  </si>
  <si>
    <t>8260100598
8260100586</t>
  </si>
  <si>
    <t>8260100597
8260100607</t>
  </si>
  <si>
    <t>8260100487, 8260100488, 8260100490, 8260100560, 8260100561, 8260100562, 8260100563, 8260100565, 8260100566</t>
  </si>
  <si>
    <t>28/1114</t>
  </si>
  <si>
    <t>28/1319</t>
  </si>
  <si>
    <t>28/1220</t>
  </si>
  <si>
    <t>28/0647</t>
  </si>
  <si>
    <t>28/0658</t>
  </si>
  <si>
    <t>28/0942</t>
  </si>
  <si>
    <t>28/0739</t>
  </si>
  <si>
    <t>28/0614</t>
  </si>
  <si>
    <t>28/0845</t>
  </si>
  <si>
    <t>28/0955</t>
  </si>
  <si>
    <t>28/0805</t>
  </si>
  <si>
    <t>28/0625</t>
  </si>
  <si>
    <t>28/0819</t>
  </si>
  <si>
    <t>28/1115</t>
  </si>
  <si>
    <t>28/0622</t>
  </si>
  <si>
    <t>28/0750</t>
  </si>
  <si>
    <t>28/0810</t>
  </si>
  <si>
    <t>28/0836</t>
  </si>
  <si>
    <t>29/1018</t>
  </si>
  <si>
    <t>29/0918</t>
  </si>
  <si>
    <t>29/0732</t>
  </si>
  <si>
    <t>29/0648</t>
  </si>
  <si>
    <t>29/0932</t>
  </si>
  <si>
    <t>29/1002</t>
  </si>
  <si>
    <t>29/0754</t>
  </si>
  <si>
    <t>29/0647</t>
  </si>
  <si>
    <t>29/0753</t>
  </si>
  <si>
    <t>29/0720</t>
  </si>
  <si>
    <t>29/0844</t>
  </si>
  <si>
    <t>29/0624</t>
  </si>
  <si>
    <t>29/0638</t>
  </si>
  <si>
    <t>29/0723</t>
  </si>
  <si>
    <t>30/0622</t>
  </si>
  <si>
    <t>30/0729</t>
  </si>
  <si>
    <t>30/0830</t>
  </si>
  <si>
    <t>30/0937</t>
  </si>
  <si>
    <t>30/0740</t>
  </si>
  <si>
    <t>30/0625</t>
  </si>
  <si>
    <t>30/0714</t>
  </si>
  <si>
    <t>30/0739</t>
  </si>
  <si>
    <t>30/0757</t>
  </si>
  <si>
    <t>30/0845</t>
  </si>
  <si>
    <t>30/0728</t>
  </si>
  <si>
    <t>30/0815</t>
  </si>
  <si>
    <t>30/0855</t>
  </si>
  <si>
    <t>30/0852</t>
  </si>
  <si>
    <t>30/1020</t>
  </si>
  <si>
    <t>30/1145</t>
  </si>
  <si>
    <t>30/0920</t>
  </si>
  <si>
    <t>8260100523
8260100515</t>
  </si>
  <si>
    <t>28/0920</t>
  </si>
  <si>
    <t>8260100436
8260100456</t>
  </si>
  <si>
    <t>30/1025</t>
  </si>
  <si>
    <t>8260100526
8260100527
8260100532</t>
  </si>
  <si>
    <t>30/0913</t>
  </si>
  <si>
    <t>28/1002</t>
  </si>
  <si>
    <t>28/1144</t>
  </si>
  <si>
    <t>8260100437, 8260100467</t>
  </si>
  <si>
    <t>28/1108</t>
  </si>
  <si>
    <t>28/1224</t>
  </si>
  <si>
    <t>28/1130</t>
  </si>
  <si>
    <t>28/1143</t>
  </si>
  <si>
    <t>28/1229</t>
  </si>
  <si>
    <t>29/1040</t>
  </si>
  <si>
    <t>29/1102</t>
  </si>
  <si>
    <t>29/0907</t>
  </si>
  <si>
    <t>29/1113</t>
  </si>
  <si>
    <t>8260100540, 8260100521</t>
  </si>
  <si>
    <t>29/1250</t>
  </si>
  <si>
    <t>30/1047</t>
  </si>
  <si>
    <t>30/1059</t>
  </si>
  <si>
    <t>30/1032</t>
  </si>
  <si>
    <t>8260100610, 8260100606</t>
  </si>
  <si>
    <t>30/1002</t>
  </si>
  <si>
    <t>8260100553, 8260100556, 8260100558</t>
  </si>
  <si>
    <t>29/2043</t>
  </si>
  <si>
    <t>29/1525</t>
  </si>
  <si>
    <t>29/1513</t>
  </si>
  <si>
    <t>29/2022</t>
  </si>
  <si>
    <t>JUV 5049</t>
  </si>
  <si>
    <t>ADIB</t>
  </si>
  <si>
    <t>HAFIZAN / ACAP</t>
  </si>
  <si>
    <t>2:41 - FROM IFL KL HUB. 11:27 - DEPART FROM IFL JB HUB.</t>
  </si>
  <si>
    <t>29/1822</t>
  </si>
  <si>
    <t>ADD TRUCK. 16:01 - DEPART IFL JB HUB.</t>
  </si>
  <si>
    <t>NO SHIPMENT DUE TO BMW SYSTEM DOWN.</t>
  </si>
  <si>
    <t>28/0914</t>
  </si>
  <si>
    <t>29/0914</t>
  </si>
  <si>
    <t>DELIVERY ON 28/05 DUE TO PH ON 27/05 (HARI RAYA AIDLADHA)</t>
  </si>
  <si>
    <t>29/1011</t>
  </si>
  <si>
    <t>30/1052</t>
  </si>
  <si>
    <t>8260100592  8260100601    8260100614</t>
  </si>
  <si>
    <t>8260100435 8260100446    8260100461</t>
  </si>
  <si>
    <t>29/1049</t>
  </si>
  <si>
    <t>8260100588    8260100604</t>
  </si>
  <si>
    <t>MW Kuala Terrenganu (53236)</t>
  </si>
  <si>
    <t>29/1048</t>
  </si>
  <si>
    <t>DELIVERY ON 03/06 DUE TO PH ON 01/06 &amp; 02/06 (WESAK &amp; AGONG'S BIRTHDAY).</t>
  </si>
  <si>
    <t>NO SHIPMENT DUE TO PUBLIC HOLIDAY (AGONG'S BIRTHDAY)</t>
  </si>
  <si>
    <t>NO SHIPMENT DUE TO PUBLIC HOLIDAY (REPLACEMENT WESAK'S DAY)</t>
  </si>
  <si>
    <t>8260100685 8260100696</t>
  </si>
  <si>
    <t>8260100678 8260100691</t>
  </si>
  <si>
    <t>KAMAL / SANI</t>
  </si>
  <si>
    <t>9:56 - DEPART FROM IFL JB HUB.</t>
  </si>
  <si>
    <t>9:12 - DEPART FROM IFL JB HUB</t>
  </si>
  <si>
    <t>13:43 - DEPART FROM IFL JB HUB</t>
  </si>
  <si>
    <t>03/1942</t>
  </si>
  <si>
    <t>5:48 - DEPART FROM IFL KL HUB</t>
  </si>
  <si>
    <t>8260100639  8260100640  8260100642  8260100643</t>
  </si>
  <si>
    <t>8260100554  8260100623  8260100636  8260100637</t>
  </si>
  <si>
    <t>03/2206</t>
  </si>
  <si>
    <t>03/1546</t>
  </si>
  <si>
    <t>8260100625  8260100635</t>
  </si>
  <si>
    <t>03/1520</t>
  </si>
  <si>
    <t>03/2145</t>
  </si>
  <si>
    <t>8260100701  8260100702</t>
  </si>
  <si>
    <t>8260100624  8260100632</t>
  </si>
  <si>
    <t>8260100628  8260100633</t>
  </si>
  <si>
    <t>03/1458</t>
  </si>
  <si>
    <t>03/1531</t>
  </si>
  <si>
    <t xml:space="preserve">WVD 4968 DELIVER EK FIRST I/O PML THIS LED TO LATE TRUCK ARRIVAL AT PML. </t>
  </si>
  <si>
    <t>CW23</t>
  </si>
  <si>
    <t>CW24</t>
  </si>
  <si>
    <t>CW25</t>
  </si>
  <si>
    <t>CW26</t>
  </si>
  <si>
    <t>CW27</t>
  </si>
  <si>
    <t>04/0832</t>
  </si>
  <si>
    <t>8260100668
8260100692
8260100673</t>
  </si>
  <si>
    <t>04/0922</t>
  </si>
  <si>
    <t>8260100671
8260100669</t>
  </si>
  <si>
    <t>04/0917</t>
  </si>
  <si>
    <t>8260100763 8260100747</t>
  </si>
  <si>
    <t>8260100770 8260100745</t>
  </si>
  <si>
    <t>04/0945</t>
  </si>
  <si>
    <t>8260100754
8260100759
8260100749</t>
  </si>
  <si>
    <t>8260100757
8260100753</t>
  </si>
  <si>
    <t>05/0852</t>
  </si>
  <si>
    <t>8260100710  8260100717  8260100719</t>
  </si>
  <si>
    <t>04/1629</t>
  </si>
  <si>
    <t>04/1616</t>
  </si>
  <si>
    <t>04/2043</t>
  </si>
  <si>
    <t>04/2057</t>
  </si>
  <si>
    <t>04/1747</t>
  </si>
  <si>
    <t>8260100706  8260100723  8260100724  8260100728</t>
  </si>
  <si>
    <t>8260100771  8260100772</t>
  </si>
  <si>
    <t>ANGAH</t>
  </si>
  <si>
    <t>SAZALI / VICKY</t>
  </si>
  <si>
    <t>09:11 - DEPART FROM IFL JB HUB.</t>
  </si>
  <si>
    <t>14:22 - DEPART FROM IFL JB HUB</t>
  </si>
  <si>
    <t>04/2015</t>
  </si>
  <si>
    <t>04/2143</t>
  </si>
  <si>
    <t xml:space="preserve">15:04 : TRUCK ON DECK LED TO LATE ARRIVAL MAESRK CZ. </t>
  </si>
  <si>
    <t>05/0956</t>
  </si>
  <si>
    <t>05/1348</t>
  </si>
  <si>
    <t>04/1410</t>
  </si>
  <si>
    <t>04/0940</t>
  </si>
  <si>
    <t>8260100667, 8260100682</t>
  </si>
  <si>
    <t>04/1241</t>
  </si>
  <si>
    <t>04/1218</t>
  </si>
  <si>
    <t>04/1126</t>
  </si>
  <si>
    <t>05/0842</t>
  </si>
  <si>
    <t>05/1104</t>
  </si>
  <si>
    <t>05/1046</t>
  </si>
  <si>
    <t>05/1413</t>
  </si>
  <si>
    <t>05/1033</t>
  </si>
  <si>
    <t>05/1041</t>
  </si>
  <si>
    <t>-</t>
  </si>
  <si>
    <t>8260100816 8260100829</t>
  </si>
  <si>
    <t>8260100811
8260100810
8260100506</t>
  </si>
  <si>
    <t>8260100809
8260100819</t>
  </si>
  <si>
    <t>04/0954</t>
  </si>
  <si>
    <t>04/1108</t>
  </si>
  <si>
    <t>04/0655</t>
  </si>
  <si>
    <t>04/0842</t>
  </si>
  <si>
    <t>04/0925</t>
  </si>
  <si>
    <t>04/0746</t>
  </si>
  <si>
    <t>04/0639</t>
  </si>
  <si>
    <t>04/0909</t>
  </si>
  <si>
    <t>04/0649</t>
  </si>
  <si>
    <t>04/0717</t>
  </si>
  <si>
    <t>04/1014</t>
  </si>
  <si>
    <t>04/0806</t>
  </si>
  <si>
    <t>04/0836</t>
  </si>
  <si>
    <t>05/1049</t>
  </si>
  <si>
    <t>05/1125</t>
  </si>
  <si>
    <t>05/0640</t>
  </si>
  <si>
    <t>05/0821</t>
  </si>
  <si>
    <t>05/1139</t>
  </si>
  <si>
    <t>05/0626</t>
  </si>
  <si>
    <t>05/0712</t>
  </si>
  <si>
    <t>05/0614</t>
  </si>
  <si>
    <t>05/0658</t>
  </si>
  <si>
    <t>05/0857</t>
  </si>
  <si>
    <t>05/0633</t>
  </si>
  <si>
    <t>05/0823</t>
  </si>
  <si>
    <t>05/0917</t>
  </si>
  <si>
    <t>06/0947</t>
  </si>
  <si>
    <t>06/0846</t>
  </si>
  <si>
    <t>06/065</t>
  </si>
  <si>
    <t>06/0755</t>
  </si>
  <si>
    <t>06/1002</t>
  </si>
  <si>
    <t>06/0747</t>
  </si>
  <si>
    <t>06/0749</t>
  </si>
  <si>
    <t>06/0736</t>
  </si>
  <si>
    <t>06/0823</t>
  </si>
  <si>
    <t>06/0731</t>
  </si>
  <si>
    <t>06/0751</t>
  </si>
  <si>
    <t>06/0818</t>
  </si>
  <si>
    <t>06/0905</t>
  </si>
  <si>
    <t>06/0807</t>
  </si>
  <si>
    <t>06/0828</t>
  </si>
  <si>
    <t>06/0943</t>
  </si>
  <si>
    <t>06/0932</t>
  </si>
  <si>
    <t>8260100785  8260100786  8260100787  8260100789</t>
  </si>
  <si>
    <t xml:space="preserve">8260100776  8260100781  8260100783  </t>
  </si>
  <si>
    <t>8260100842  8260100843</t>
  </si>
  <si>
    <t>05/2124</t>
  </si>
  <si>
    <t>8260100626  8260100782</t>
  </si>
  <si>
    <t>05/1609</t>
  </si>
  <si>
    <t>05/2052</t>
  </si>
  <si>
    <t>8260100840  8260100841</t>
  </si>
  <si>
    <t>KAMAL / AGUS</t>
  </si>
  <si>
    <t>IMPORT DGF. 07:56 - OUT TJ KUPANG. 08:17 - DEPART FROM IFL JB HUB</t>
  </si>
  <si>
    <t>IMPORT DGF.</t>
  </si>
  <si>
    <t>05/1856</t>
  </si>
  <si>
    <t>8260100807  8260100828</t>
  </si>
  <si>
    <t>06/0808</t>
  </si>
  <si>
    <t>16:17 - DEPART FROM IFL JB HUB</t>
  </si>
  <si>
    <t>8:04 - DEPART FROM IFL JB HUB &amp; DOING LOCAL DELIVERY</t>
  </si>
  <si>
    <t>08/0920</t>
  </si>
  <si>
    <t>06/0855</t>
  </si>
  <si>
    <t>06/1210</t>
  </si>
  <si>
    <t>06/1156</t>
  </si>
  <si>
    <t>06/1121</t>
  </si>
  <si>
    <t>06/1323</t>
  </si>
  <si>
    <t>DUE THE LATENESS DRIVER LATE ARRIVE AT HUB JB. Isma on EL &amp; angah had to replace.</t>
  </si>
  <si>
    <t xml:space="preserve">LATE DELIVERY TO DEALER (41630,46678) BECAUSE ORIGINAL DRIVER STUCK AT KLIA  DUE TO GEODIS TRUCK LATE  ARRIVE AT KLIA. 9 AM ASSIGN TO OTHER DRIVER. </t>
  </si>
  <si>
    <t>8260100903
8260100900</t>
  </si>
  <si>
    <t>8260100916
8260100889</t>
  </si>
  <si>
    <t>MD SHAH / AGUS</t>
  </si>
  <si>
    <t xml:space="preserve">SAZALI / ANGAH </t>
  </si>
  <si>
    <t>15:21 - DEPART FROM IFL JB HUB</t>
  </si>
  <si>
    <t>08/1838</t>
  </si>
  <si>
    <t>16:55 - DEPART FROM IFL JB HUB</t>
  </si>
  <si>
    <t>ADD TRUCK. 10:39 - DEPART FROM IFL JB HUB</t>
  </si>
  <si>
    <t xml:space="preserve">IMPORT DGF. 8:11 - OUT FROM TJ KUPANG. </t>
  </si>
  <si>
    <t>8260100711  8260100712  8260100713  8260100714  8260100715  8260100722  8260100862  8260100863  8260100865  8260100867  8260100868</t>
  </si>
  <si>
    <t>8260100845  8260100924  8260100930  8260100931  8260100932</t>
  </si>
  <si>
    <t>8260100847  8260100933</t>
  </si>
  <si>
    <t>8260100926  8260100928</t>
  </si>
  <si>
    <t>8260100627  8260100925  8260100934</t>
  </si>
  <si>
    <t>8260100927  8260100929</t>
  </si>
  <si>
    <t>8260100778  8260100852  8260100853  8260100854</t>
  </si>
  <si>
    <t>08/2122</t>
  </si>
  <si>
    <t>08/1534</t>
  </si>
  <si>
    <t>08/2100</t>
  </si>
  <si>
    <t>08/1608</t>
  </si>
  <si>
    <t>8260100846  8260100851</t>
  </si>
  <si>
    <t>8260100936  8260100937  8260100940</t>
  </si>
  <si>
    <t xml:space="preserve">RETURN FROM SG AM. </t>
  </si>
  <si>
    <t>16:32 - DEPART FROM IFL JB HUB.</t>
  </si>
  <si>
    <t>8260100978 8260100980</t>
  </si>
  <si>
    <t>8260100964 8260100969</t>
  </si>
  <si>
    <t>09/2143</t>
  </si>
  <si>
    <t>09/1502</t>
  </si>
  <si>
    <t>09/1440</t>
  </si>
  <si>
    <t>09/2115</t>
  </si>
  <si>
    <t>09/1617</t>
  </si>
  <si>
    <t>09/1557</t>
  </si>
  <si>
    <t>09/1925</t>
  </si>
  <si>
    <t>8260101006  8260101008  8260101009  8260101010  8260101011</t>
  </si>
  <si>
    <t>8260101039 8260101036</t>
  </si>
  <si>
    <t>8260100995  8260100999  8260101003  8260101004</t>
  </si>
  <si>
    <t>10/1539</t>
  </si>
  <si>
    <t>10/2022</t>
  </si>
  <si>
    <t>8260100998  8260101002</t>
  </si>
  <si>
    <t>10/1616</t>
  </si>
  <si>
    <t>10/2008</t>
  </si>
  <si>
    <t>8260100997  8260101001</t>
  </si>
  <si>
    <t>FAZLY / SANI</t>
  </si>
  <si>
    <t>YUNOS / DANIEL</t>
  </si>
  <si>
    <t>10/1915</t>
  </si>
  <si>
    <t>16:16 - DEPART FROM IFL JB HUB</t>
  </si>
  <si>
    <t>16:01 - DEPART FROM IFL JB HUB</t>
  </si>
  <si>
    <t>FROM SG. 15:44 - OUT FROM TJ KUPANG. 16:00 - DEPART FROM IFL JB HUB TO PDC</t>
  </si>
  <si>
    <t>09/1212</t>
  </si>
  <si>
    <t>09/1145</t>
  </si>
  <si>
    <t>09/1138</t>
  </si>
  <si>
    <t>09/1114</t>
  </si>
  <si>
    <t>09/1034</t>
  </si>
  <si>
    <t>8260100898, 8260100901</t>
  </si>
  <si>
    <t>VPF 8442</t>
  </si>
  <si>
    <t>JUR 2196</t>
  </si>
  <si>
    <t>10/1142</t>
  </si>
  <si>
    <t>10/0859</t>
  </si>
  <si>
    <t>8260100974, 8260100956</t>
  </si>
  <si>
    <t>10/1058</t>
  </si>
  <si>
    <t>10/1131</t>
  </si>
  <si>
    <t>10/1348</t>
  </si>
  <si>
    <t>10/1125</t>
  </si>
  <si>
    <t>11/1120</t>
  </si>
  <si>
    <t>11/1038</t>
  </si>
  <si>
    <t>11/07859</t>
  </si>
  <si>
    <t>11/1039</t>
  </si>
  <si>
    <t>11/1302</t>
  </si>
  <si>
    <t>11/1101</t>
  </si>
  <si>
    <t>8260101041, 8260101034</t>
  </si>
  <si>
    <t>JTF 351</t>
  </si>
  <si>
    <t>8260101094  8260101095</t>
  </si>
  <si>
    <t>8260101085  8260101086  8260101144  8260101145</t>
  </si>
  <si>
    <t>MAWI</t>
  </si>
  <si>
    <t>MEGAT / AGUS</t>
  </si>
  <si>
    <t>9:54 - DEPART FROM IFL JB HUB.</t>
  </si>
  <si>
    <t>12:28 - DEPART FROM IFL JB HUB.</t>
  </si>
  <si>
    <t>9:18 - DEPART FROM IFL JB HUB.</t>
  </si>
  <si>
    <t>FROM SG. 14:10 - OUT FROM TJ KUPANG. 15:40 - DEPART FROM IFL JB HUB.</t>
  </si>
  <si>
    <t>8260101127 8260101133</t>
  </si>
  <si>
    <t>8260101121 8260101136</t>
  </si>
  <si>
    <t>11/1740</t>
  </si>
  <si>
    <t>11/2108</t>
  </si>
  <si>
    <t>8260100996  8260101071  8260101079  8260101080</t>
  </si>
  <si>
    <t>11/1548</t>
  </si>
  <si>
    <t>11/2056</t>
  </si>
  <si>
    <t>8260101000  8260101073  8260101073</t>
  </si>
  <si>
    <t>11/2038</t>
  </si>
  <si>
    <t>11/1613</t>
  </si>
  <si>
    <t>8260101074  8260101078</t>
  </si>
  <si>
    <t>8260101075  8260101081</t>
  </si>
  <si>
    <t>11/1656</t>
  </si>
  <si>
    <t>15:45 - DEPART FROM IFL JB HUB.</t>
  </si>
  <si>
    <t>REPLACEMENT TRUCK DUE TO FUKUYAMA DRIVER HAD AN EMERGENCY.</t>
  </si>
  <si>
    <t>KAMAL / HISHAM</t>
  </si>
  <si>
    <t>8260101161  8260101163  8260101164  8260101165  8260101166</t>
  </si>
  <si>
    <t>8260101207
8260101177</t>
  </si>
  <si>
    <t>8260101206
8260101180</t>
  </si>
  <si>
    <t>09/1102</t>
  </si>
  <si>
    <t>APB 4793</t>
  </si>
  <si>
    <t>09/1018</t>
  </si>
  <si>
    <t>JYG 2518</t>
  </si>
  <si>
    <t>09/0811</t>
  </si>
  <si>
    <t>VPF 8431</t>
  </si>
  <si>
    <t>09/0732</t>
  </si>
  <si>
    <t>VPF 8435</t>
  </si>
  <si>
    <t>09/1002</t>
  </si>
  <si>
    <t>09/1037</t>
  </si>
  <si>
    <t>09/0832</t>
  </si>
  <si>
    <t>09/0733</t>
  </si>
  <si>
    <t>JTB 4271</t>
  </si>
  <si>
    <t>09/0842</t>
  </si>
  <si>
    <t>09/0643</t>
  </si>
  <si>
    <t>VPF 8440</t>
  </si>
  <si>
    <t>09/0716</t>
  </si>
  <si>
    <t>09/0804</t>
  </si>
  <si>
    <t>09/1027</t>
  </si>
  <si>
    <t>APB 4795</t>
  </si>
  <si>
    <t>09/0629</t>
  </si>
  <si>
    <t>JRS 9581</t>
  </si>
  <si>
    <t>09/0829</t>
  </si>
  <si>
    <t>09/0926</t>
  </si>
  <si>
    <t>10/1101</t>
  </si>
  <si>
    <t>10/0626</t>
  </si>
  <si>
    <t>10/0812</t>
  </si>
  <si>
    <t>WB 6912 Q</t>
  </si>
  <si>
    <t>10/0902</t>
  </si>
  <si>
    <t>10/0929</t>
  </si>
  <si>
    <t>10/0726</t>
  </si>
  <si>
    <t>10/0434</t>
  </si>
  <si>
    <t>10/0511</t>
  </si>
  <si>
    <t>10/0616</t>
  </si>
  <si>
    <t>10/0636</t>
  </si>
  <si>
    <t>10/0828</t>
  </si>
  <si>
    <t>10/0731</t>
  </si>
  <si>
    <t>10/0825</t>
  </si>
  <si>
    <t>10/0919</t>
  </si>
  <si>
    <t>10/0933</t>
  </si>
  <si>
    <t>10/0959</t>
  </si>
  <si>
    <t>10/1145</t>
  </si>
  <si>
    <t>10/1350</t>
  </si>
  <si>
    <t xml:space="preserve"> VPF 8435</t>
  </si>
  <si>
    <t>11/1137</t>
  </si>
  <si>
    <t>11/0808</t>
  </si>
  <si>
    <t>11/0737</t>
  </si>
  <si>
    <t>11/0922</t>
  </si>
  <si>
    <t>11/1019</t>
  </si>
  <si>
    <t>11/0827</t>
  </si>
  <si>
    <t>11/0606</t>
  </si>
  <si>
    <t>11/0705</t>
  </si>
  <si>
    <t>11/0638</t>
  </si>
  <si>
    <t>11/0657</t>
  </si>
  <si>
    <t>11/0902</t>
  </si>
  <si>
    <t>11/0824</t>
  </si>
  <si>
    <t>VPF8435</t>
  </si>
  <si>
    <t>11/0726</t>
  </si>
  <si>
    <t>11/0853</t>
  </si>
  <si>
    <t>11/0723</t>
  </si>
  <si>
    <t>11/0816</t>
  </si>
  <si>
    <t>10/1024</t>
  </si>
  <si>
    <t>LATE DELIVERY TO (28801) DUE TO HIGH VOLUME  FOR NEW DEALER REQUIRED TWO TRUCK FOR DELIVERY . HENCE, DEALER RTC NEED TO COMBINE WITH OTHER LANE BECAUSE OF THIS CAUSE DELAY.</t>
  </si>
  <si>
    <t>12/1511</t>
  </si>
  <si>
    <t>12/1148</t>
  </si>
  <si>
    <t>12/1052</t>
  </si>
  <si>
    <t>12/0902</t>
  </si>
  <si>
    <t>8260101142, 8260101131</t>
  </si>
  <si>
    <t>12/1021</t>
  </si>
  <si>
    <t>13/0916</t>
  </si>
  <si>
    <t>13/1045</t>
  </si>
  <si>
    <t>13/0956</t>
  </si>
  <si>
    <t>8260101197, 8260101198</t>
  </si>
  <si>
    <t>12/1238</t>
  </si>
  <si>
    <t>12/1057</t>
  </si>
  <si>
    <t>13/1015</t>
  </si>
  <si>
    <t>12/0707</t>
  </si>
  <si>
    <t>12/0756</t>
  </si>
  <si>
    <t>12/0849</t>
  </si>
  <si>
    <t>12/0924</t>
  </si>
  <si>
    <t>12/0905</t>
  </si>
  <si>
    <t>12/0626</t>
  </si>
  <si>
    <t>12/0758</t>
  </si>
  <si>
    <t>13/0725</t>
  </si>
  <si>
    <t>13/0826</t>
  </si>
  <si>
    <t>13/0839</t>
  </si>
  <si>
    <t>13/0800</t>
  </si>
  <si>
    <t>13/0747</t>
  </si>
  <si>
    <t>13/0707</t>
  </si>
  <si>
    <t>12/0620</t>
  </si>
  <si>
    <t>12/0654</t>
  </si>
  <si>
    <t>12/0803</t>
  </si>
  <si>
    <t>12/1038</t>
  </si>
  <si>
    <t>12/0606</t>
  </si>
  <si>
    <t>12/0819</t>
  </si>
  <si>
    <t>12/0806</t>
  </si>
  <si>
    <t>12/0738</t>
  </si>
  <si>
    <t>13/0759</t>
  </si>
  <si>
    <t>13/0815</t>
  </si>
  <si>
    <t>13/0853</t>
  </si>
  <si>
    <t>13/0914</t>
  </si>
  <si>
    <t>13/0646</t>
  </si>
  <si>
    <t>13/0803</t>
  </si>
  <si>
    <t>13/0848</t>
  </si>
  <si>
    <t>13/0843</t>
  </si>
  <si>
    <t>13/0915</t>
  </si>
  <si>
    <t>8260100885
8260100895</t>
  </si>
  <si>
    <t>JYG 2519</t>
  </si>
  <si>
    <t>8260100894
8260100897</t>
  </si>
  <si>
    <t>09/1000</t>
  </si>
  <si>
    <t>10/0918</t>
  </si>
  <si>
    <t>10/0910</t>
  </si>
  <si>
    <t>8260100962
8260100958
8260100968</t>
  </si>
  <si>
    <t>10/0935</t>
  </si>
  <si>
    <t>8260100957
8260100961</t>
  </si>
  <si>
    <t>JRJ  9242</t>
  </si>
  <si>
    <t>8260101044
8260101033</t>
  </si>
  <si>
    <t>11/0950</t>
  </si>
  <si>
    <t>11/0838</t>
  </si>
  <si>
    <t>11/0930</t>
  </si>
  <si>
    <t>12/0920</t>
  </si>
  <si>
    <t>8260101137
8260101134
8260101132</t>
  </si>
  <si>
    <t>12/0916</t>
  </si>
  <si>
    <t>12/0935</t>
  </si>
  <si>
    <t>8260101143
8260101126</t>
  </si>
  <si>
    <t xml:space="preserve">JRJ 7321 </t>
  </si>
  <si>
    <t>13/0950</t>
  </si>
  <si>
    <t>13/0958</t>
  </si>
  <si>
    <t>8260101200
8260101179</t>
  </si>
  <si>
    <t>13/0938</t>
  </si>
  <si>
    <t>8260101154  8260101155  8260101157  8260101158</t>
  </si>
  <si>
    <t>12/1512</t>
  </si>
  <si>
    <t>8260101072  8260101159</t>
  </si>
  <si>
    <t>12/2102</t>
  </si>
  <si>
    <t>12/1540</t>
  </si>
  <si>
    <t>02:39 - FROM IFL KL HUB. 10:26 - ARRIVE IFL JB HUB. 14:18 - DEPART FROM IFL JB HUB.</t>
  </si>
  <si>
    <t>12/2010</t>
  </si>
  <si>
    <t>DRIVER LATE. 15:12 - ARRIVE PDC. 17:41 - OUT TJ KUPANG. 18:10 - OUT TUAS.</t>
  </si>
  <si>
    <t>FROM SG. 13:22 - OUT TJ KUPANG. 15:19 - DEPART FROM IFL JB HUB.</t>
  </si>
  <si>
    <t>09/1121</t>
  </si>
  <si>
    <t>PLANNER DID NOT ASSIGN THE JOB TO DRIVER</t>
  </si>
  <si>
    <t>SDM SKUDAI / TEBRAU / BP &amp; KUANTAN</t>
  </si>
  <si>
    <t>13/1701</t>
  </si>
  <si>
    <t>15/0848</t>
  </si>
  <si>
    <t>JRV 7638 / WB 6912 Q</t>
  </si>
  <si>
    <t>8260101082  8260101083  8260101084  8260101087  8260101088  8260101089  8260101090  8260101231  8260101232  8260101234  8260101236  8260101237</t>
  </si>
  <si>
    <t>JTJ 3259 BREAKDOWN. JUY 9157 UNCONTACTABLE.</t>
  </si>
  <si>
    <t xml:space="preserve">WAN </t>
  </si>
  <si>
    <t>8260101267 8260101268</t>
  </si>
  <si>
    <t>8260101263 8260101273</t>
  </si>
  <si>
    <t>8260101278
8260101261
8260101272</t>
  </si>
  <si>
    <t>JUS 6084 REPLACE TRUCK (VNB 3629) ARRIVE LATE AT PDC.</t>
  </si>
  <si>
    <t>8260101153  8260101221  8260101223  8260101227  8260101229</t>
  </si>
  <si>
    <t>8260101291  8260101292</t>
  </si>
  <si>
    <t>15/1544</t>
  </si>
  <si>
    <t>15/1432</t>
  </si>
  <si>
    <t>15/2043</t>
  </si>
  <si>
    <t xml:space="preserve">REPLACE VNB 3629. </t>
  </si>
  <si>
    <t xml:space="preserve">FROM SG. 15:38 - OUT FROM TJ KUPANG. 16:47 - DEPART FROM IFL JB HUB. </t>
  </si>
  <si>
    <t>BLACK / ANGAH</t>
  </si>
  <si>
    <t>SAZALI / ATAN</t>
  </si>
  <si>
    <t>8260101307  8260101308  8260101312  8260101313</t>
  </si>
  <si>
    <t>8260101222  8260101296  8260101302  8260101304</t>
  </si>
  <si>
    <t>16/1444</t>
  </si>
  <si>
    <t>8260101298  8260101305</t>
  </si>
  <si>
    <t>16/1451</t>
  </si>
  <si>
    <t>8260101299  8260101306</t>
  </si>
  <si>
    <t>16/1558</t>
  </si>
  <si>
    <t>8260101300  8260101301</t>
  </si>
  <si>
    <t>16/1630</t>
  </si>
  <si>
    <t>16/0004</t>
  </si>
  <si>
    <t>16/0002</t>
  </si>
  <si>
    <t>16/0008</t>
  </si>
  <si>
    <t>TRUCK ARRIVE AT PDC LATE. REPLACEMENT TRUCK AS JTJ 3259 IS STILL BROKEDOWN.</t>
  </si>
  <si>
    <t>8260101331 8260101335</t>
  </si>
  <si>
    <t>8260101334 8260101356</t>
  </si>
  <si>
    <t>16/0952</t>
  </si>
  <si>
    <t>16/0918</t>
  </si>
  <si>
    <t>8260101270
8260101258</t>
  </si>
  <si>
    <t>16/2108</t>
  </si>
  <si>
    <t>16/2044</t>
  </si>
  <si>
    <t>PUBLIC HOLIDAY (AWAL MUHARRAM) NO SHIPMENT.</t>
  </si>
  <si>
    <t>16/1841</t>
  </si>
  <si>
    <t>MD SHAH / IPIN</t>
  </si>
  <si>
    <t>YUNOS / SANI</t>
  </si>
  <si>
    <t>9:31 - DEPART FROM IFL JB HUB</t>
  </si>
  <si>
    <t>REPLACE JRT 4341 (BROKEDOWN).</t>
  </si>
  <si>
    <t>16:44 - DEPART FROM IFL JB HUB</t>
  </si>
  <si>
    <t>8260101384  8260101386</t>
  </si>
  <si>
    <t>8260101438  8260101439</t>
  </si>
  <si>
    <t>8260101411 8260101418</t>
  </si>
  <si>
    <t>8260101412 8260101436</t>
  </si>
  <si>
    <t>8260101297  8260101372  8260101379  8260101381</t>
  </si>
  <si>
    <t>18/1444</t>
  </si>
  <si>
    <t>18/2100</t>
  </si>
  <si>
    <t>8260101374  8260101382</t>
  </si>
  <si>
    <t>8260101442  8260101443</t>
  </si>
  <si>
    <t>18/2038</t>
  </si>
  <si>
    <t>18/1528</t>
  </si>
  <si>
    <t>8260101375  8260101377</t>
  </si>
  <si>
    <t>18/1509</t>
  </si>
  <si>
    <t>18/1603</t>
  </si>
  <si>
    <t>18/2128</t>
  </si>
  <si>
    <t>18/1901</t>
  </si>
  <si>
    <t>16/1308</t>
  </si>
  <si>
    <t>16/1404</t>
  </si>
  <si>
    <t>16/1134</t>
  </si>
  <si>
    <t>16/1207</t>
  </si>
  <si>
    <t>16/1350</t>
  </si>
  <si>
    <t>16/0933</t>
  </si>
  <si>
    <t>VEB 5710</t>
  </si>
  <si>
    <t>18/0933</t>
  </si>
  <si>
    <t>18/1058</t>
  </si>
  <si>
    <t>18/0915</t>
  </si>
  <si>
    <t>18/1143</t>
  </si>
  <si>
    <t>18/1141</t>
  </si>
  <si>
    <t>18/1150</t>
  </si>
  <si>
    <t>18/1110</t>
  </si>
  <si>
    <t>8260101350, 8260101353</t>
  </si>
  <si>
    <t>8260101406, 8260101430</t>
  </si>
  <si>
    <t>16/1013</t>
  </si>
  <si>
    <t>JRS9581/APB4853</t>
  </si>
  <si>
    <t>19/0739</t>
  </si>
  <si>
    <t>16/0625</t>
  </si>
  <si>
    <t>16/0626</t>
  </si>
  <si>
    <t>16/0919</t>
  </si>
  <si>
    <t>16/0957</t>
  </si>
  <si>
    <t>16/0718</t>
  </si>
  <si>
    <t>16/0610</t>
  </si>
  <si>
    <t>16/0739</t>
  </si>
  <si>
    <t>16/0851</t>
  </si>
  <si>
    <t>16/0618</t>
  </si>
  <si>
    <t>16/0712</t>
  </si>
  <si>
    <t>16/0956</t>
  </si>
  <si>
    <t>16/1047</t>
  </si>
  <si>
    <t>16/0706</t>
  </si>
  <si>
    <t>16/0807</t>
  </si>
  <si>
    <t>16/0756</t>
  </si>
  <si>
    <t>16/0831</t>
  </si>
  <si>
    <t>16/0840</t>
  </si>
  <si>
    <t>18/1030</t>
  </si>
  <si>
    <t>18/0654</t>
  </si>
  <si>
    <t>18/0759</t>
  </si>
  <si>
    <t>18/0804</t>
  </si>
  <si>
    <t>18/0935</t>
  </si>
  <si>
    <t>18/0721</t>
  </si>
  <si>
    <t>18/0630</t>
  </si>
  <si>
    <t>18/0817</t>
  </si>
  <si>
    <t>18/1025</t>
  </si>
  <si>
    <t>18/0622</t>
  </si>
  <si>
    <t>18/0652</t>
  </si>
  <si>
    <t>18/0755</t>
  </si>
  <si>
    <t>18/0931</t>
  </si>
  <si>
    <t>18/0615</t>
  </si>
  <si>
    <t>18/0825</t>
  </si>
  <si>
    <t>18/0859</t>
  </si>
  <si>
    <t>18/0736</t>
  </si>
  <si>
    <t>18/0918</t>
  </si>
  <si>
    <t>8260101481 8260101494</t>
  </si>
  <si>
    <t>8260101482 8260101486</t>
  </si>
  <si>
    <t>19/0955</t>
  </si>
  <si>
    <t>19/0706</t>
  </si>
  <si>
    <t>19/0959</t>
  </si>
  <si>
    <t>19/0805</t>
  </si>
  <si>
    <t>19/0637</t>
  </si>
  <si>
    <t>19/0747</t>
  </si>
  <si>
    <t>19/0727</t>
  </si>
  <si>
    <t>19/0643</t>
  </si>
  <si>
    <t>19/0804</t>
  </si>
  <si>
    <t>19/0755</t>
  </si>
  <si>
    <t>19/0825</t>
  </si>
  <si>
    <t>19/0902</t>
  </si>
  <si>
    <t>19/0657</t>
  </si>
  <si>
    <t>19/0853</t>
  </si>
  <si>
    <t>19/1538</t>
  </si>
  <si>
    <t>19/1316</t>
  </si>
  <si>
    <t>19/1250</t>
  </si>
  <si>
    <t>19/1206</t>
  </si>
  <si>
    <t>19/0940</t>
  </si>
  <si>
    <t>JSH 8291</t>
  </si>
  <si>
    <t>8260101502, 8260101488</t>
  </si>
  <si>
    <t>20/1000</t>
  </si>
  <si>
    <t>20/0745</t>
  </si>
  <si>
    <t>20/0722</t>
  </si>
  <si>
    <t>20/0927</t>
  </si>
  <si>
    <t>20/1009</t>
  </si>
  <si>
    <t>20/0816</t>
  </si>
  <si>
    <t>20/0603</t>
  </si>
  <si>
    <t>20/0645</t>
  </si>
  <si>
    <t>20/0707</t>
  </si>
  <si>
    <t>20/0721</t>
  </si>
  <si>
    <t>20/0752</t>
  </si>
  <si>
    <t>20/0946</t>
  </si>
  <si>
    <t>20/0742</t>
  </si>
  <si>
    <t>20/0825</t>
  </si>
  <si>
    <t>WB 6912 Q/ JTB 4271/JRS 9581</t>
  </si>
  <si>
    <t>20/0739</t>
  </si>
  <si>
    <t>LATE DELIVER TO (28801) DUE TO WAREHOUSE LOADING ERROR. GOODS WERE MISTAKENLY LOADED ONTO THE WRONG TRUCK INSTEAD OF THE ASSIGNED DELIVERY TRUCK.</t>
  </si>
  <si>
    <t>LATE SCAN TO (27304) DELIVERY INVOLVING 3 TRUCK . THE SCANNING DRIVER ARRIVED SLIGHTLY LATER WHILE THE OTHER DRIVER ARRIVED EARLIER AND COMPLETED THEIR DELIVERIES.</t>
  </si>
  <si>
    <t>18/1005</t>
  </si>
  <si>
    <t xml:space="preserve">APB 4782 </t>
  </si>
  <si>
    <t>18/1000</t>
  </si>
  <si>
    <t>8260101345
8260101339
8260101341</t>
  </si>
  <si>
    <t>18/0849</t>
  </si>
  <si>
    <t>8260101336
8260101338</t>
  </si>
  <si>
    <t>19/0730</t>
  </si>
  <si>
    <t>19/0930</t>
  </si>
  <si>
    <t>8260101408
8260101429
8260101437</t>
  </si>
  <si>
    <t>8260101371  8260101449  8260101452  8260101455</t>
  </si>
  <si>
    <t>19/2240</t>
  </si>
  <si>
    <t>19/1533</t>
  </si>
  <si>
    <t>8260101373  8260101454</t>
  </si>
  <si>
    <t>19/2146</t>
  </si>
  <si>
    <t>19/1557</t>
  </si>
  <si>
    <t>FARIZAL / IPIN</t>
  </si>
  <si>
    <t>15:16 - DEPART FROM IFL JB HUB</t>
  </si>
  <si>
    <t xml:space="preserve">17:44 - OUT FROM TJ KUPANG. </t>
  </si>
  <si>
    <t>14:40 - OUT FROM TJ KUPANG. 15:27 - DEPART FROM IFL JB HUB.</t>
  </si>
  <si>
    <t>16:43 - OUT FROM TJ KUPANG. 16:55 - DEPART FROM IFL JB HUB</t>
  </si>
  <si>
    <t>17:34 - OUT FROM TJ KUPANG.</t>
  </si>
  <si>
    <t>13:32 - DEPART FROM IFL JB HUB</t>
  </si>
  <si>
    <t>19/1856</t>
  </si>
  <si>
    <t>8260101456  8260101457  8260101458  8260101459  8260101461  8260101463  8260101464</t>
  </si>
  <si>
    <t>20/0907</t>
  </si>
  <si>
    <t>20/1031</t>
  </si>
  <si>
    <t>20/1006</t>
  </si>
  <si>
    <t>20/0929</t>
  </si>
  <si>
    <t>20/0920</t>
  </si>
  <si>
    <t>8260101484
8260101510</t>
  </si>
  <si>
    <t>JYG2519</t>
  </si>
  <si>
    <t>8260101404
8260101420</t>
  </si>
  <si>
    <t>PUBLIC HOLIDAY ON WEDNESDAY, 17/06/2026. HENCE, DELIVERY WAS ARRANGED ON THE NEXT WORKING DAY.</t>
  </si>
  <si>
    <t>16/0950</t>
  </si>
  <si>
    <t>22/0930</t>
  </si>
  <si>
    <t>18/1131</t>
  </si>
  <si>
    <t>19/1210</t>
  </si>
  <si>
    <t>8260101404  8260101420</t>
  </si>
  <si>
    <t>19/0931</t>
  </si>
  <si>
    <t>20/1439</t>
  </si>
  <si>
    <t>20/1431</t>
  </si>
  <si>
    <t>20/0908</t>
  </si>
  <si>
    <t>VNB 3619 : SAZALI</t>
  </si>
  <si>
    <t>JUY 9157 : BLACK</t>
  </si>
  <si>
    <t>VNB 3629 : KHAIR</t>
  </si>
  <si>
    <t>VR 3460 : ALIF</t>
  </si>
  <si>
    <t>JUS 6084 : TARMIZI</t>
  </si>
  <si>
    <t>PRL 6850 : MD SHAH</t>
  </si>
  <si>
    <t>JRT 4341 : AIMAN</t>
  </si>
  <si>
    <t>JTR 914 : YUNOS</t>
  </si>
  <si>
    <t>VPF 8438 : HAFIZAN</t>
  </si>
  <si>
    <t>VICKY / IZZAT</t>
  </si>
  <si>
    <t>ATAN / SANI</t>
  </si>
  <si>
    <t>8260101559 8260101579</t>
  </si>
  <si>
    <t>8260101587 8260101590</t>
  </si>
  <si>
    <t>NDG 6847 : VICKY</t>
  </si>
  <si>
    <t>VNB 3619 : ATAN</t>
  </si>
  <si>
    <t>8260101450  8260101528  8260101531  8260101537  8260101538</t>
  </si>
  <si>
    <t>22/2125</t>
  </si>
  <si>
    <t>8260101451  8260101532  8260101535</t>
  </si>
  <si>
    <t>22/2109</t>
  </si>
  <si>
    <t>22/1535</t>
  </si>
  <si>
    <t>8260101530  8260101536</t>
  </si>
  <si>
    <t>8260101366  8260101367  8260101368  8260101541  8260101542  8260101543  8260101545  8260101547</t>
  </si>
  <si>
    <t>22/1842</t>
  </si>
  <si>
    <t>IMPORT DGF. 8:21 - OUT FROM TJ KUPANG. 9:43 - DEPART FROM IFL JB HUB.</t>
  </si>
  <si>
    <t>ADD TRUCK DUE TO HIGH VOLUME.</t>
  </si>
  <si>
    <t>ENAL</t>
  </si>
  <si>
    <t>AIMAN BAGONG / ANGAH</t>
  </si>
  <si>
    <t>LCL-PTP</t>
  </si>
  <si>
    <t>8260101649 8260101652</t>
  </si>
  <si>
    <t>8260101636 8260101646</t>
  </si>
  <si>
    <t>8260101529  8260101605  8260101610  8260101612  8260101615</t>
  </si>
  <si>
    <t>23/1525</t>
  </si>
  <si>
    <t>23/2140</t>
  </si>
  <si>
    <t>8260101608  8260101616</t>
  </si>
  <si>
    <t>23/1543</t>
  </si>
  <si>
    <t>23/2112</t>
  </si>
  <si>
    <t>23/1512</t>
  </si>
  <si>
    <t>8260101609  8260101614</t>
  </si>
  <si>
    <t>23/1626</t>
  </si>
  <si>
    <t>8260101619  8260101621</t>
  </si>
  <si>
    <t>JTJ 3259 : ISMAIL</t>
  </si>
  <si>
    <t>23/1952</t>
  </si>
  <si>
    <t>9:22 - DEPART FROM IFL JB HUB</t>
  </si>
  <si>
    <t>VICKY / DANIEL</t>
  </si>
  <si>
    <t>FROM SG. 13:50 - OUT TJ KUPANG. 15:13 - DEPART FROM IFL JB HUB</t>
  </si>
  <si>
    <t>FROM SG. 16:06 - OUT TJ KUPANG.</t>
  </si>
  <si>
    <t>15:32 - FROM WORKSHOP</t>
  </si>
  <si>
    <t>FROM SG. 16:18 - OUT TJ KUPANG. 16:46 - DEPART FROM IFL JB HUB.</t>
  </si>
  <si>
    <t>8260101563
8260101580</t>
  </si>
  <si>
    <t>8260101633
8260101639
8260101661</t>
  </si>
  <si>
    <t>8260101576
8260101578
8260101593</t>
  </si>
  <si>
    <t>23/0915</t>
  </si>
  <si>
    <t>JYG 2519 : RAHIM</t>
  </si>
  <si>
    <t>23/0912</t>
  </si>
  <si>
    <t>JSS 1674  : ZAINAL</t>
  </si>
  <si>
    <t>24/0909</t>
  </si>
  <si>
    <t>24/0944</t>
  </si>
  <si>
    <t>JRJ 9242 / JRJ 7321
ISMA / JOY</t>
  </si>
  <si>
    <t>8260101685  8260101686  8260101687  8260101688  8260101690</t>
  </si>
  <si>
    <t>8260101714 8260101734</t>
  </si>
  <si>
    <t>8260101729 8260101732</t>
  </si>
  <si>
    <t xml:space="preserve">IMPORT DGF. 8:52 - OUT TJ KUPANG. 10:06 - DEPART FROM IFL JB HUB. </t>
  </si>
  <si>
    <t>8260101604  8260101675  8260101677  8260101678  8260101680</t>
  </si>
  <si>
    <t>24/1817</t>
  </si>
  <si>
    <t>24/2302</t>
  </si>
  <si>
    <t>8260101676  8260101681</t>
  </si>
  <si>
    <t>24/1844</t>
  </si>
  <si>
    <t>24/2243</t>
  </si>
  <si>
    <t>8260101606  8260101679</t>
  </si>
  <si>
    <t xml:space="preserve">FROM SG. 17:43 - OUT TJ KUPANG. </t>
  </si>
  <si>
    <r>
      <rPr>
        <b/>
        <sz val="11"/>
        <rFont val="Aptos Narrow"/>
        <family val="2"/>
        <scheme val="minor"/>
      </rPr>
      <t>SG AM</t>
    </r>
    <r>
      <rPr>
        <sz val="11"/>
        <rFont val="Aptos Narrow"/>
        <family val="2"/>
        <scheme val="minor"/>
      </rPr>
      <t xml:space="preserve"> TRUCK DELAYED BCOZ OF DIESEL FLEET CARD REACHED LIMIT. 11:50 - OUT FROM SENAI. 17:06 - OUT FROM TJ KUPANG. 17:42 - OUT TUAS. 
</t>
    </r>
    <r>
      <rPr>
        <b/>
        <sz val="11"/>
        <rFont val="Aptos Narrow"/>
        <family val="2"/>
        <scheme val="minor"/>
      </rPr>
      <t>SG PM</t>
    </r>
    <r>
      <rPr>
        <sz val="11"/>
        <rFont val="Aptos Narrow"/>
        <family val="2"/>
        <scheme val="minor"/>
      </rPr>
      <t xml:space="preserve"> TRUCK LATE DEPARTED  FROM IFL JB HUB (20:34). DELIVERED EK FIRST RESULTING IN A DELIVERY FAILURE TO PML. 21:49 - OUT TJ  KUPANG. 22:14 - OU TUAS</t>
    </r>
  </si>
  <si>
    <t xml:space="preserve">15:41 - OUT BP. </t>
  </si>
  <si>
    <t>9:37 - DEPART FROM IFL JB HUB</t>
  </si>
  <si>
    <t>BAVARIAN SEGAMBUT</t>
  </si>
  <si>
    <t>PLANNER ASSIGN THE JOB TO NDG 6847 BUT DELIVERY DONE BY JYG 2519</t>
  </si>
  <si>
    <t>JRU 4016</t>
  </si>
  <si>
    <t>SYED</t>
  </si>
  <si>
    <t>DRIVER DID SCAN BUT DUE TO POOR INTERNET CONNECTION IT WAS NOT CAPTURED ON AIFLE</t>
  </si>
  <si>
    <t>23/0954</t>
  </si>
  <si>
    <t>23/1158</t>
  </si>
  <si>
    <t>23/1522</t>
  </si>
  <si>
    <t>23/1244</t>
  </si>
  <si>
    <t>23/1159</t>
  </si>
  <si>
    <t>8260101583, 8260101582</t>
  </si>
  <si>
    <t>24/1418</t>
  </si>
  <si>
    <t>24/1515</t>
  </si>
  <si>
    <t>24/1525</t>
  </si>
  <si>
    <t>24/1458</t>
  </si>
  <si>
    <t>24/1330</t>
  </si>
  <si>
    <t>8260101650, 8260101637</t>
  </si>
  <si>
    <t>24/1700</t>
  </si>
  <si>
    <t>LATE DELIVER TO DEALER 30484/39339/35787 DUE TO LORRY JWJ 2497 ARRIVED AT IPOH HUB ON 1055.</t>
  </si>
  <si>
    <t>VPF 8442 : HAZRIN</t>
  </si>
  <si>
    <t>JSL 1400 : FADHIL</t>
  </si>
  <si>
    <t>APB 4806 : MUS</t>
  </si>
  <si>
    <t>JRK 4188 : AMINRUL</t>
  </si>
  <si>
    <t>JTF 351 : ZULKIFLI</t>
  </si>
  <si>
    <t>JUR 2196 : ARIF</t>
  </si>
  <si>
    <t>JVT 2593 : SHAHRIZAL</t>
  </si>
  <si>
    <t>8260101716, 8260101731</t>
  </si>
  <si>
    <t>8260101811 8260101810</t>
  </si>
  <si>
    <t>8260101814 8260101800</t>
  </si>
  <si>
    <t>23/1034</t>
  </si>
  <si>
    <t>APB4853: YAFIK</t>
  </si>
  <si>
    <t>23/1046</t>
  </si>
  <si>
    <t>JYG 2518 : MUSLEY</t>
  </si>
  <si>
    <t>23/1235</t>
  </si>
  <si>
    <t>JRU 4016 : SYED</t>
  </si>
  <si>
    <t>23/0805</t>
  </si>
  <si>
    <t>JWG 4709 : AZARI</t>
  </si>
  <si>
    <t>23/0707</t>
  </si>
  <si>
    <t>VPF 8435 : SUHAIMI</t>
  </si>
  <si>
    <t>23/0854</t>
  </si>
  <si>
    <t>APB 4795 : HASSAN</t>
  </si>
  <si>
    <t>23/0957</t>
  </si>
  <si>
    <t xml:space="preserve"> APB 4795 : HASSAN</t>
  </si>
  <si>
    <t>23/0823</t>
  </si>
  <si>
    <t>23/0629</t>
  </si>
  <si>
    <t>APB 4793 : MISNAWI</t>
  </si>
  <si>
    <t>23/0727</t>
  </si>
  <si>
    <t>23/0848</t>
  </si>
  <si>
    <t>WB 6912 Q : HASRUL</t>
  </si>
  <si>
    <t>23/0623</t>
  </si>
  <si>
    <t>VPF 8440 : KHAIRI</t>
  </si>
  <si>
    <t>23/0814</t>
  </si>
  <si>
    <t>VPF 8431 : MAZLAN</t>
  </si>
  <si>
    <t>23/0621</t>
  </si>
  <si>
    <t>23/0825</t>
  </si>
  <si>
    <t>23/0804</t>
  </si>
  <si>
    <t>JRS 9581 : ACAP  WB 6912 Q : HASRUL</t>
  </si>
  <si>
    <t>23/0828</t>
  </si>
  <si>
    <t>APB 4853 : YAFIK</t>
  </si>
  <si>
    <t>23/0842</t>
  </si>
  <si>
    <t>24/1107</t>
  </si>
  <si>
    <t>JYG 2518:MAZLAN</t>
  </si>
  <si>
    <t>24/0817</t>
  </si>
  <si>
    <t>JRV 7638 : FAZRUL</t>
  </si>
  <si>
    <t>24/1053</t>
  </si>
  <si>
    <t>JVG 7465 : MAWI</t>
  </si>
  <si>
    <t>24/0939</t>
  </si>
  <si>
    <t>24/1121</t>
  </si>
  <si>
    <t>24/0839</t>
  </si>
  <si>
    <t>APB 4853 : MUSLEY</t>
  </si>
  <si>
    <t>24/0948</t>
  </si>
  <si>
    <t>24/0945</t>
  </si>
  <si>
    <t>WB 6912 Q : RAIMI</t>
  </si>
  <si>
    <t>24/0923</t>
  </si>
  <si>
    <t>24/1046</t>
  </si>
  <si>
    <t>24/1110</t>
  </si>
  <si>
    <t>24/1043</t>
  </si>
  <si>
    <t>24/ 0920</t>
  </si>
  <si>
    <t>JRS 9581 : ACAP</t>
  </si>
  <si>
    <t>24/0855</t>
  </si>
  <si>
    <t>24/1019</t>
  </si>
  <si>
    <t>24/1036</t>
  </si>
  <si>
    <t xml:space="preserve">VNB 3649 : SABRI </t>
  </si>
  <si>
    <t>24/1144</t>
  </si>
  <si>
    <t>JVG 7638 : FAZRUL</t>
  </si>
  <si>
    <t>24/1514</t>
  </si>
  <si>
    <t>VNB 3649 : SABRI</t>
  </si>
  <si>
    <t>LATE DELIVERY TO DEALER (25329,27303),53929 DUE TO LORRY PRL 6851 ARRIVED AT KL HUB ON 5:48 AM .</t>
  </si>
  <si>
    <t>25/0832</t>
  </si>
  <si>
    <t>JYG 2518 : MISNAWI</t>
  </si>
  <si>
    <t>25/0935</t>
  </si>
  <si>
    <t>JRU 4016 : MAWI</t>
  </si>
  <si>
    <t>25/1019</t>
  </si>
  <si>
    <t>25/0855</t>
  </si>
  <si>
    <t>VPF 8431 :MAZLAN</t>
  </si>
  <si>
    <t>25/0737</t>
  </si>
  <si>
    <t>25/0950</t>
  </si>
  <si>
    <t>25/1127</t>
  </si>
  <si>
    <t>25/0921</t>
  </si>
  <si>
    <t>VPF 8431: MAZLAN</t>
  </si>
  <si>
    <t>25/0624</t>
  </si>
  <si>
    <t>VPF 8435 : SUHAIMI VPF 8440 : KHAIRI</t>
  </si>
  <si>
    <t>25/0655</t>
  </si>
  <si>
    <t>WB 6912 Q YAFIK</t>
  </si>
  <si>
    <t>25/0639</t>
  </si>
  <si>
    <t xml:space="preserve"> APB 4853 : MUSLEY</t>
  </si>
  <si>
    <t>25/0719</t>
  </si>
  <si>
    <t>25/0912</t>
  </si>
  <si>
    <t>25/1058</t>
  </si>
  <si>
    <t>JTB 4271 : SYED</t>
  </si>
  <si>
    <t>25/0816</t>
  </si>
  <si>
    <t>WB 6912 Q : YAFIK</t>
  </si>
  <si>
    <t>25/1133</t>
  </si>
  <si>
    <t>25/0906</t>
  </si>
  <si>
    <t xml:space="preserve">JWG 4709 : AZARI </t>
  </si>
  <si>
    <t>LATE DELIVERY TO FIVE DEALER  DUE TO LORRY PRL 6851 ARRIVED AT KL HUB ON 5:48 AM .</t>
  </si>
  <si>
    <t>LATE DELIVERY TO DEALER 35782 ,27304 DUE TO DRIVER HAVE FAMILY EMERGENCY IN THE MORNING .</t>
  </si>
  <si>
    <t>LATE DELIVERY TO DEALER 41630 DUE TO DRIVER  UNREACHABLE , TRUCK WAS PARKED NEARBY DEALER AREA .</t>
  </si>
  <si>
    <t>8260101747  8260101748  8260101762  8260101763</t>
  </si>
  <si>
    <t>JTJ 3259 : ISMAIL                 VNB 3629 : KHAIR</t>
  </si>
  <si>
    <t>24/1948                        24/1949</t>
  </si>
  <si>
    <t>25/1541</t>
  </si>
  <si>
    <t>25/2131</t>
  </si>
  <si>
    <t>8260101751  8260101761</t>
  </si>
  <si>
    <t>25/1654</t>
  </si>
  <si>
    <t>8260101749  8260101766</t>
  </si>
  <si>
    <t>25/1611</t>
  </si>
  <si>
    <t>25/2113</t>
  </si>
  <si>
    <t>25/1725</t>
  </si>
  <si>
    <t>JVG 7465 : MEGAT</t>
  </si>
  <si>
    <t>8260101754  8260101768  8260101771  8260101772</t>
  </si>
  <si>
    <t>8260101822  8260101823</t>
  </si>
  <si>
    <t>KAMAL / IPIN</t>
  </si>
  <si>
    <t>AZARI / HAZIM</t>
  </si>
  <si>
    <t>25/1810</t>
  </si>
  <si>
    <t>15:31 - DEPART FROM IFL JB HUB</t>
  </si>
  <si>
    <t>26/0952</t>
  </si>
  <si>
    <t>26/1054</t>
  </si>
  <si>
    <t>26/0647</t>
  </si>
  <si>
    <t>APB 4793 ; MISNAWI</t>
  </si>
  <si>
    <t>26/0706</t>
  </si>
  <si>
    <t>VPF 8431 ; MAZLAN</t>
  </si>
  <si>
    <t>26/0924</t>
  </si>
  <si>
    <t>APB 4793: MISNAWI</t>
  </si>
  <si>
    <t>26/0950</t>
  </si>
  <si>
    <t>JTB 4271 : YAFIK</t>
  </si>
  <si>
    <t>26/0825</t>
  </si>
  <si>
    <t>26/0738</t>
  </si>
  <si>
    <t>26/0913</t>
  </si>
  <si>
    <t>26/0906</t>
  </si>
  <si>
    <t>26/0621</t>
  </si>
  <si>
    <t>26/0704</t>
  </si>
  <si>
    <t>26/0742</t>
  </si>
  <si>
    <t>26/0833</t>
  </si>
  <si>
    <t>26/0609</t>
  </si>
  <si>
    <t>26/0840</t>
  </si>
  <si>
    <t>26/0803</t>
  </si>
  <si>
    <t>26/0750</t>
  </si>
  <si>
    <t>26/0854</t>
  </si>
  <si>
    <t>23/0644</t>
  </si>
  <si>
    <t>LATE DELIVERY TO DEALER 53929 DUE TO HEAVY TRAFFIC NEAR FEDERAL HIGHWAY .</t>
  </si>
  <si>
    <t>25/1340</t>
  </si>
  <si>
    <t>25/1059</t>
  </si>
  <si>
    <t>25/1415</t>
  </si>
  <si>
    <t>25/1332</t>
  </si>
  <si>
    <t>25/1333</t>
  </si>
  <si>
    <t>25/1352</t>
  </si>
  <si>
    <t>26/0927</t>
  </si>
  <si>
    <t>26/1216</t>
  </si>
  <si>
    <t>26/1514</t>
  </si>
  <si>
    <t>26/1152</t>
  </si>
  <si>
    <t>26/1323</t>
  </si>
  <si>
    <t>8260101787, 8260101801</t>
  </si>
  <si>
    <t>26/1142</t>
  </si>
  <si>
    <t>8260101836  8260101837  8260101838  8260101839  8260101840  8260101841</t>
  </si>
  <si>
    <t>8260101880 8260101886</t>
  </si>
  <si>
    <t>8260101862 8260101870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</si>
</sst>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4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/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5" fillId="2" borderId="8" xfId="0" quotePrefix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7" fontId="0" fillId="2" borderId="8" xfId="0" quotePrefix="1" applyNumberFormat="1" applyFill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8" xfId="0" quotePrefix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20" fontId="0" fillId="0" borderId="8" xfId="0" applyNumberForma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" fontId="2" fillId="2" borderId="14" xfId="0" quotePrefix="1" applyNumberFormat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17" fontId="2" fillId="2" borderId="9" xfId="0" quotePrefix="1" applyNumberFormat="1" applyFont="1" applyFill="1" applyBorder="1" applyAlignment="1">
      <alignment horizontal="center" vertical="center" wrapText="1"/>
    </xf>
    <xf numFmtId="17" fontId="1" fillId="4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4" borderId="8" xfId="0" quotePrefix="1" applyFont="1" applyFill="1" applyBorder="1" applyAlignment="1">
      <alignment horizontal="center" vertical="center"/>
    </xf>
    <xf numFmtId="17" fontId="2" fillId="2" borderId="8" xfId="0" applyNumberFormat="1" applyFont="1" applyFill="1" applyBorder="1" applyAlignment="1">
      <alignment horizontal="center"/>
    </xf>
    <xf numFmtId="17" fontId="8" fillId="2" borderId="14" xfId="0" quotePrefix="1" applyNumberFormat="1" applyFont="1" applyFill="1" applyBorder="1" applyAlignment="1">
      <alignment horizontal="center" vertical="center"/>
    </xf>
    <xf numFmtId="17" fontId="2" fillId="2" borderId="8" xfId="0" quotePrefix="1" applyNumberFormat="1" applyFont="1" applyFill="1" applyBorder="1" applyAlignment="1">
      <alignment horizontal="center"/>
    </xf>
    <xf numFmtId="17" fontId="2" fillId="2" borderId="9" xfId="0" quotePrefix="1" applyNumberFormat="1" applyFont="1" applyFill="1" applyBorder="1" applyAlignment="1">
      <alignment horizontal="center"/>
    </xf>
    <xf numFmtId="17" fontId="2" fillId="2" borderId="26" xfId="0" quotePrefix="1" applyNumberFormat="1" applyFont="1" applyFill="1" applyBorder="1" applyAlignment="1">
      <alignment horizontal="center"/>
    </xf>
    <xf numFmtId="17" fontId="2" fillId="2" borderId="8" xfId="0" quotePrefix="1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17" fontId="0" fillId="2" borderId="8" xfId="0" quotePrefix="1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7" fontId="1" fillId="4" borderId="8" xfId="0" applyNumberFormat="1" applyFont="1" applyFill="1" applyBorder="1" applyAlignment="1">
      <alignment horizontal="center"/>
    </xf>
    <xf numFmtId="3" fontId="0" fillId="0" borderId="8" xfId="0" applyNumberForma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/>
    </xf>
    <xf numFmtId="17" fontId="2" fillId="2" borderId="8" xfId="0" quotePrefix="1" applyNumberFormat="1" applyFont="1" applyFill="1" applyBorder="1" applyAlignment="1">
      <alignment horizontal="center" vertical="center" wrapText="1"/>
    </xf>
    <xf numFmtId="16" fontId="1" fillId="4" borderId="8" xfId="0" applyNumberFormat="1" applyFont="1" applyFill="1" applyBorder="1" applyAlignment="1">
      <alignment horizontal="center" vertical="center"/>
    </xf>
    <xf numFmtId="17" fontId="8" fillId="2" borderId="8" xfId="0" quotePrefix="1" applyNumberFormat="1" applyFont="1" applyFill="1" applyBorder="1" applyAlignment="1">
      <alignment horizontal="center" vertical="center"/>
    </xf>
    <xf numFmtId="17" fontId="5" fillId="2" borderId="8" xfId="0" quotePrefix="1" applyNumberFormat="1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10" fontId="13" fillId="0" borderId="8" xfId="1" applyNumberFormat="1" applyFont="1" applyBorder="1" applyAlignment="1">
      <alignment horizontal="center"/>
    </xf>
    <xf numFmtId="10" fontId="14" fillId="0" borderId="8" xfId="1" applyNumberFormat="1" applyFont="1" applyBorder="1" applyAlignment="1">
      <alignment horizontal="center"/>
    </xf>
    <xf numFmtId="0" fontId="2" fillId="0" borderId="8" xfId="0" applyFont="1" applyBorder="1"/>
    <xf numFmtId="0" fontId="13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1" fillId="7" borderId="8" xfId="0" applyFont="1" applyFill="1" applyBorder="1" applyAlignment="1">
      <alignment horizontal="center"/>
    </xf>
    <xf numFmtId="0" fontId="2" fillId="0" borderId="8" xfId="0" quotePrefix="1" applyFont="1" applyBorder="1" applyAlignment="1">
      <alignment vertical="center"/>
    </xf>
    <xf numFmtId="17" fontId="2" fillId="0" borderId="8" xfId="0" quotePrefix="1" applyNumberFormat="1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quotePrefix="1" applyFont="1" applyAlignment="1">
      <alignment vertical="center"/>
    </xf>
    <xf numFmtId="17" fontId="2" fillId="0" borderId="0" xfId="0" quotePrefix="1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7" fontId="1" fillId="4" borderId="8" xfId="0" quotePrefix="1" applyNumberFormat="1" applyFont="1" applyFill="1" applyBorder="1" applyAlignment="1">
      <alignment horizontal="center" vertical="center"/>
    </xf>
    <xf numFmtId="17" fontId="1" fillId="4" borderId="8" xfId="0" quotePrefix="1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/>
    </xf>
    <xf numFmtId="0" fontId="15" fillId="0" borderId="8" xfId="0" applyFont="1" applyBorder="1" applyAlignment="1">
      <alignment horizontal="center" vertical="center" wrapText="1"/>
    </xf>
    <xf numFmtId="164" fontId="0" fillId="0" borderId="0" xfId="0" applyNumberFormat="1"/>
    <xf numFmtId="0" fontId="5" fillId="0" borderId="8" xfId="0" applyFont="1" applyBorder="1" applyAlignment="1">
      <alignment horizontal="center" vertical="center" wrapText="1"/>
    </xf>
    <xf numFmtId="0" fontId="2" fillId="8" borderId="0" xfId="0" quotePrefix="1" applyFont="1" applyFill="1" applyAlignment="1">
      <alignment vertical="center"/>
    </xf>
    <xf numFmtId="17" fontId="2" fillId="8" borderId="0" xfId="0" quotePrefix="1" applyNumberFormat="1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2" fillId="8" borderId="29" xfId="0" quotePrefix="1" applyFont="1" applyFill="1" applyBorder="1" applyAlignment="1">
      <alignment vertical="center"/>
    </xf>
    <xf numFmtId="17" fontId="2" fillId="8" borderId="29" xfId="0" quotePrefix="1" applyNumberFormat="1" applyFont="1" applyFill="1" applyBorder="1" applyAlignment="1">
      <alignment vertical="center" wrapText="1"/>
    </xf>
    <xf numFmtId="0" fontId="0" fillId="8" borderId="29" xfId="0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30" xfId="0" applyFill="1" applyBorder="1" applyAlignment="1">
      <alignment vertical="center" wrapText="1"/>
    </xf>
    <xf numFmtId="14" fontId="2" fillId="8" borderId="12" xfId="0" applyNumberFormat="1" applyFont="1" applyFill="1" applyBorder="1" applyAlignment="1">
      <alignment vertical="center" wrapText="1"/>
    </xf>
    <xf numFmtId="14" fontId="2" fillId="8" borderId="30" xfId="0" applyNumberFormat="1" applyFont="1" applyFill="1" applyBorder="1" applyAlignment="1">
      <alignment vertical="center" wrapText="1"/>
    </xf>
    <xf numFmtId="0" fontId="2" fillId="8" borderId="27" xfId="0" quotePrefix="1" applyFont="1" applyFill="1" applyBorder="1" applyAlignment="1">
      <alignment vertical="center"/>
    </xf>
    <xf numFmtId="0" fontId="2" fillId="8" borderId="28" xfId="0" quotePrefix="1" applyFont="1" applyFill="1" applyBorder="1" applyAlignment="1">
      <alignment vertical="center"/>
    </xf>
    <xf numFmtId="17" fontId="2" fillId="8" borderId="27" xfId="0" quotePrefix="1" applyNumberFormat="1" applyFont="1" applyFill="1" applyBorder="1" applyAlignment="1">
      <alignment vertical="center" wrapText="1"/>
    </xf>
    <xf numFmtId="17" fontId="2" fillId="8" borderId="28" xfId="0" quotePrefix="1" applyNumberFormat="1" applyFont="1" applyFill="1" applyBorder="1" applyAlignment="1">
      <alignment vertical="center" wrapText="1"/>
    </xf>
    <xf numFmtId="0" fontId="2" fillId="2" borderId="8" xfId="0" quotePrefix="1" applyFont="1" applyFill="1" applyBorder="1" applyAlignment="1">
      <alignment horizontal="center"/>
    </xf>
    <xf numFmtId="0" fontId="0" fillId="8" borderId="32" xfId="0" applyFill="1" applyBorder="1" applyAlignment="1">
      <alignment vertical="center" wrapText="1"/>
    </xf>
    <xf numFmtId="0" fontId="0" fillId="8" borderId="27" xfId="0" applyFill="1" applyBorder="1" applyAlignment="1">
      <alignment vertical="center" wrapText="1"/>
    </xf>
    <xf numFmtId="0" fontId="0" fillId="8" borderId="28" xfId="0" applyFill="1" applyBorder="1" applyAlignment="1">
      <alignment vertical="center" wrapText="1"/>
    </xf>
    <xf numFmtId="0" fontId="0" fillId="8" borderId="31" xfId="0" applyFill="1" applyBorder="1" applyAlignment="1">
      <alignment vertical="center" wrapText="1"/>
    </xf>
    <xf numFmtId="9" fontId="0" fillId="0" borderId="0" xfId="1" applyFont="1"/>
    <xf numFmtId="9" fontId="0" fillId="0" borderId="8" xfId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5" fillId="0" borderId="8" xfId="0" applyFont="1" applyBorder="1" applyAlignment="1">
      <alignment horizontal="center"/>
    </xf>
    <xf numFmtId="9" fontId="15" fillId="0" borderId="8" xfId="1" applyFont="1" applyBorder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0" xfId="0" applyFont="1"/>
    <xf numFmtId="0" fontId="5" fillId="0" borderId="8" xfId="0" applyFont="1" applyBorder="1" applyAlignment="1">
      <alignment horizontal="center"/>
    </xf>
    <xf numFmtId="0" fontId="2" fillId="8" borderId="27" xfId="0" applyFont="1" applyFill="1" applyBorder="1" applyAlignment="1">
      <alignment vertical="center"/>
    </xf>
    <xf numFmtId="0" fontId="2" fillId="8" borderId="28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8" borderId="29" xfId="0" applyFont="1" applyFill="1" applyBorder="1" applyAlignment="1">
      <alignment vertical="center"/>
    </xf>
    <xf numFmtId="17" fontId="2" fillId="8" borderId="27" xfId="0" applyNumberFormat="1" applyFont="1" applyFill="1" applyBorder="1" applyAlignment="1">
      <alignment vertical="center" wrapText="1"/>
    </xf>
    <xf numFmtId="17" fontId="2" fillId="8" borderId="28" xfId="0" applyNumberFormat="1" applyFont="1" applyFill="1" applyBorder="1" applyAlignment="1">
      <alignment vertical="center" wrapText="1"/>
    </xf>
    <xf numFmtId="17" fontId="2" fillId="8" borderId="0" xfId="0" applyNumberFormat="1" applyFont="1" applyFill="1" applyAlignment="1">
      <alignment vertical="center" wrapText="1"/>
    </xf>
    <xf numFmtId="17" fontId="2" fillId="8" borderId="29" xfId="0" applyNumberFormat="1" applyFont="1" applyFill="1" applyBorder="1" applyAlignment="1">
      <alignment vertical="center" wrapText="1"/>
    </xf>
    <xf numFmtId="20" fontId="0" fillId="0" borderId="8" xfId="0" applyNumberFormat="1" applyBorder="1" applyAlignment="1">
      <alignment horizontal="center"/>
    </xf>
    <xf numFmtId="165" fontId="16" fillId="9" borderId="8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20" fontId="1" fillId="0" borderId="8" xfId="0" applyNumberFormat="1" applyFont="1" applyBorder="1" applyAlignment="1">
      <alignment horizontal="center"/>
    </xf>
    <xf numFmtId="0" fontId="8" fillId="0" borderId="8" xfId="0" applyFont="1" applyBorder="1"/>
    <xf numFmtId="20" fontId="8" fillId="0" borderId="8" xfId="0" applyNumberFormat="1" applyFont="1" applyBorder="1" applyAlignment="1">
      <alignment horizontal="center"/>
    </xf>
    <xf numFmtId="0" fontId="13" fillId="2" borderId="8" xfId="0" applyFont="1" applyFill="1" applyBorder="1" applyAlignment="1">
      <alignment horizontal="center" vertical="center" wrapText="1"/>
    </xf>
    <xf numFmtId="9" fontId="2" fillId="0" borderId="8" xfId="1" applyFont="1" applyBorder="1" applyAlignment="1">
      <alignment horizontal="center"/>
    </xf>
    <xf numFmtId="9" fontId="13" fillId="0" borderId="8" xfId="1" applyFon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6" borderId="8" xfId="0" applyFill="1" applyBorder="1" applyAlignment="1">
      <alignment horizontal="center"/>
    </xf>
    <xf numFmtId="165" fontId="16" fillId="6" borderId="8" xfId="0" applyNumberFormat="1" applyFont="1" applyFill="1" applyBorder="1" applyAlignment="1">
      <alignment horizontal="center" vertical="center"/>
    </xf>
    <xf numFmtId="20" fontId="8" fillId="6" borderId="8" xfId="0" applyNumberFormat="1" applyFont="1" applyFill="1" applyBorder="1" applyAlignment="1">
      <alignment horizontal="center"/>
    </xf>
    <xf numFmtId="0" fontId="5" fillId="6" borderId="0" xfId="0" applyFont="1" applyFill="1"/>
    <xf numFmtId="0" fontId="8" fillId="6" borderId="8" xfId="0" applyFont="1" applyFill="1" applyBorder="1" applyAlignment="1">
      <alignment horizontal="center"/>
    </xf>
    <xf numFmtId="20" fontId="1" fillId="6" borderId="8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/>
    </xf>
    <xf numFmtId="20" fontId="2" fillId="0" borderId="8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2" fillId="0" borderId="33" xfId="0" applyFont="1" applyBorder="1" applyAlignment="1">
      <alignment horizontal="center"/>
    </xf>
    <xf numFmtId="17" fontId="2" fillId="2" borderId="8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0" fillId="6" borderId="8" xfId="0" applyFill="1" applyBorder="1" applyAlignment="1">
      <alignment horizontal="center" wrapText="1"/>
    </xf>
    <xf numFmtId="0" fontId="0" fillId="6" borderId="8" xfId="0" applyFill="1" applyBorder="1"/>
    <xf numFmtId="20" fontId="2" fillId="6" borderId="8" xfId="0" applyNumberFormat="1" applyFont="1" applyFill="1" applyBorder="1" applyAlignment="1">
      <alignment horizontal="center"/>
    </xf>
    <xf numFmtId="0" fontId="8" fillId="6" borderId="8" xfId="0" applyFont="1" applyFill="1" applyBorder="1"/>
    <xf numFmtId="0" fontId="5" fillId="6" borderId="8" xfId="0" applyFont="1" applyFill="1" applyBorder="1"/>
    <xf numFmtId="20" fontId="8" fillId="0" borderId="0" xfId="0" applyNumberFormat="1" applyFont="1" applyAlignment="1">
      <alignment horizontal="center"/>
    </xf>
    <xf numFmtId="0" fontId="10" fillId="0" borderId="33" xfId="0" applyFont="1" applyBorder="1"/>
    <xf numFmtId="0" fontId="0" fillId="0" borderId="33" xfId="0" applyBorder="1"/>
    <xf numFmtId="0" fontId="2" fillId="0" borderId="33" xfId="0" applyFont="1" applyBorder="1"/>
    <xf numFmtId="0" fontId="2" fillId="6" borderId="14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10" fontId="13" fillId="0" borderId="14" xfId="1" applyNumberFormat="1" applyFont="1" applyBorder="1" applyAlignment="1">
      <alignment horizontal="center"/>
    </xf>
    <xf numFmtId="10" fontId="13" fillId="0" borderId="9" xfId="1" applyNumberFormat="1" applyFont="1" applyBorder="1" applyAlignment="1">
      <alignment horizontal="center"/>
    </xf>
    <xf numFmtId="10" fontId="14" fillId="0" borderId="14" xfId="1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0" fontId="13" fillId="0" borderId="15" xfId="1" applyNumberFormat="1" applyFont="1" applyBorder="1" applyAlignment="1">
      <alignment horizontal="center"/>
    </xf>
    <xf numFmtId="10" fontId="13" fillId="0" borderId="1" xfId="1" applyNumberFormat="1" applyFont="1" applyBorder="1" applyAlignment="1">
      <alignment horizontal="center"/>
    </xf>
    <xf numFmtId="10" fontId="13" fillId="0" borderId="2" xfId="1" applyNumberFormat="1" applyFont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10" fontId="13" fillId="0" borderId="33" xfId="1" applyNumberFormat="1" applyFont="1" applyBorder="1" applyAlignment="1">
      <alignment horizontal="center"/>
    </xf>
    <xf numFmtId="10" fontId="14" fillId="0" borderId="33" xfId="1" applyNumberFormat="1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10" fontId="13" fillId="0" borderId="38" xfId="1" applyNumberFormat="1" applyFont="1" applyBorder="1" applyAlignment="1">
      <alignment horizontal="center"/>
    </xf>
    <xf numFmtId="10" fontId="13" fillId="0" borderId="14" xfId="1" applyNumberFormat="1" applyFont="1" applyFill="1" applyBorder="1" applyAlignment="1">
      <alignment horizontal="center"/>
    </xf>
    <xf numFmtId="10" fontId="13" fillId="0" borderId="19" xfId="1" applyNumberFormat="1" applyFont="1" applyBorder="1" applyAlignment="1">
      <alignment horizontal="center"/>
    </xf>
    <xf numFmtId="10" fontId="13" fillId="0" borderId="39" xfId="1" applyNumberFormat="1" applyFont="1" applyBorder="1" applyAlignment="1">
      <alignment horizontal="center"/>
    </xf>
    <xf numFmtId="10" fontId="14" fillId="0" borderId="19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" fontId="2" fillId="0" borderId="8" xfId="0" quotePrefix="1" applyNumberFormat="1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17" fontId="1" fillId="0" borderId="8" xfId="0" quotePrefix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17" fontId="2" fillId="6" borderId="8" xfId="0" quotePrefix="1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17" fontId="2" fillId="0" borderId="8" xfId="0" applyNumberFormat="1" applyFont="1" applyBorder="1" applyAlignment="1">
      <alignment horizontal="center" vertical="center" wrapText="1"/>
    </xf>
    <xf numFmtId="17" fontId="1" fillId="4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center" wrapText="1"/>
    </xf>
    <xf numFmtId="165" fontId="16" fillId="9" borderId="35" xfId="0" applyNumberFormat="1" applyFont="1" applyFill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0" fillId="0" borderId="1" xfId="0" applyBorder="1" applyAlignment="1">
      <alignment horizontal="center"/>
    </xf>
    <xf numFmtId="165" fontId="16" fillId="9" borderId="1" xfId="0" applyNumberFormat="1" applyFont="1" applyFill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20" fontId="8" fillId="0" borderId="35" xfId="0" applyNumberFormat="1" applyFont="1" applyBorder="1" applyAlignment="1">
      <alignment horizontal="center"/>
    </xf>
    <xf numFmtId="0" fontId="8" fillId="0" borderId="36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20" fontId="1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16" fillId="9" borderId="13" xfId="0" applyNumberFormat="1" applyFont="1" applyFill="1" applyBorder="1" applyAlignment="1">
      <alignment horizontal="center" vertical="center"/>
    </xf>
    <xf numFmtId="20" fontId="8" fillId="0" borderId="13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44" xfId="0" applyFont="1" applyBorder="1" applyAlignment="1">
      <alignment horizontal="left"/>
    </xf>
    <xf numFmtId="164" fontId="0" fillId="0" borderId="8" xfId="0" applyNumberFormat="1" applyBorder="1" applyAlignment="1">
      <alignment horizontal="center" vertical="center"/>
    </xf>
    <xf numFmtId="0" fontId="0" fillId="0" borderId="8" xfId="0" quotePrefix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/>
    </xf>
    <xf numFmtId="14" fontId="2" fillId="0" borderId="8" xfId="0" applyNumberFormat="1" applyFont="1" applyBorder="1" applyAlignment="1">
      <alignment horizontal="center" vertical="center" wrapText="1"/>
    </xf>
    <xf numFmtId="17" fontId="0" fillId="0" borderId="8" xfId="0" applyNumberFormat="1" applyBorder="1" applyAlignment="1">
      <alignment horizontal="left" vertical="center" wrapText="1"/>
    </xf>
    <xf numFmtId="0" fontId="5" fillId="0" borderId="8" xfId="0" quotePrefix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14" fontId="2" fillId="8" borderId="27" xfId="0" applyNumberFormat="1" applyFont="1" applyFill="1" applyBorder="1" applyAlignment="1">
      <alignment horizontal="center" vertical="center" wrapText="1"/>
    </xf>
    <xf numFmtId="14" fontId="2" fillId="8" borderId="28" xfId="0" applyNumberFormat="1" applyFont="1" applyFill="1" applyBorder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14" fontId="2" fillId="8" borderId="29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5" fillId="8" borderId="32" xfId="0" applyFont="1" applyFill="1" applyBorder="1" applyAlignment="1">
      <alignment horizontal="left" vertical="center" wrapText="1"/>
    </xf>
    <xf numFmtId="0" fontId="5" fillId="8" borderId="27" xfId="0" applyFont="1" applyFill="1" applyBorder="1" applyAlignment="1">
      <alignment horizontal="left" vertical="center" wrapText="1"/>
    </xf>
    <xf numFmtId="0" fontId="5" fillId="8" borderId="28" xfId="0" applyFont="1" applyFill="1" applyBorder="1" applyAlignment="1">
      <alignment horizontal="left" vertical="center" wrapText="1"/>
    </xf>
    <xf numFmtId="0" fontId="5" fillId="8" borderId="40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29" xfId="0" applyFont="1" applyFill="1" applyBorder="1" applyAlignment="1">
      <alignment horizontal="left" vertical="center" wrapText="1"/>
    </xf>
    <xf numFmtId="0" fontId="5" fillId="8" borderId="31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8" borderId="30" xfId="0" applyFont="1" applyFill="1" applyBorder="1" applyAlignment="1">
      <alignment horizontal="left" vertical="center" wrapText="1"/>
    </xf>
    <xf numFmtId="17" fontId="0" fillId="8" borderId="32" xfId="0" applyNumberFormat="1" applyFill="1" applyBorder="1" applyAlignment="1">
      <alignment horizontal="left" vertical="center" wrapText="1"/>
    </xf>
    <xf numFmtId="17" fontId="0" fillId="8" borderId="27" xfId="0" applyNumberFormat="1" applyFill="1" applyBorder="1" applyAlignment="1">
      <alignment horizontal="left" vertical="center" wrapText="1"/>
    </xf>
    <xf numFmtId="17" fontId="0" fillId="8" borderId="28" xfId="0" applyNumberFormat="1" applyFill="1" applyBorder="1" applyAlignment="1">
      <alignment horizontal="left" vertical="center" wrapText="1"/>
    </xf>
    <xf numFmtId="17" fontId="0" fillId="8" borderId="40" xfId="0" applyNumberFormat="1" applyFill="1" applyBorder="1" applyAlignment="1">
      <alignment horizontal="left" vertical="center" wrapText="1"/>
    </xf>
    <xf numFmtId="17" fontId="0" fillId="8" borderId="0" xfId="0" applyNumberFormat="1" applyFill="1" applyAlignment="1">
      <alignment horizontal="left" vertical="center" wrapText="1"/>
    </xf>
    <xf numFmtId="17" fontId="0" fillId="8" borderId="29" xfId="0" applyNumberFormat="1" applyFill="1" applyBorder="1" applyAlignment="1">
      <alignment horizontal="left" vertical="center" wrapText="1"/>
    </xf>
    <xf numFmtId="17" fontId="0" fillId="8" borderId="31" xfId="0" applyNumberFormat="1" applyFill="1" applyBorder="1" applyAlignment="1">
      <alignment horizontal="left" vertical="center" wrapText="1"/>
    </xf>
    <xf numFmtId="17" fontId="0" fillId="8" borderId="12" xfId="0" applyNumberFormat="1" applyFill="1" applyBorder="1" applyAlignment="1">
      <alignment horizontal="left" vertical="center" wrapText="1"/>
    </xf>
    <xf numFmtId="17" fontId="0" fillId="8" borderId="30" xfId="0" applyNumberFormat="1" applyFill="1" applyBorder="1" applyAlignment="1">
      <alignment horizontal="left" vertical="center" wrapText="1"/>
    </xf>
    <xf numFmtId="0" fontId="0" fillId="8" borderId="32" xfId="0" applyFill="1" applyBorder="1" applyAlignment="1">
      <alignment horizontal="left" vertical="center" wrapText="1"/>
    </xf>
    <xf numFmtId="0" fontId="0" fillId="8" borderId="27" xfId="0" applyFill="1" applyBorder="1" applyAlignment="1">
      <alignment horizontal="left" vertical="center" wrapText="1"/>
    </xf>
    <xf numFmtId="0" fontId="0" fillId="8" borderId="28" xfId="0" applyFill="1" applyBorder="1" applyAlignment="1">
      <alignment horizontal="left" vertical="center" wrapText="1"/>
    </xf>
    <xf numFmtId="0" fontId="0" fillId="8" borderId="40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8" borderId="29" xfId="0" applyFill="1" applyBorder="1" applyAlignment="1">
      <alignment horizontal="left" vertical="center" wrapText="1"/>
    </xf>
    <xf numFmtId="0" fontId="0" fillId="8" borderId="31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0" fillId="8" borderId="30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14" fontId="0" fillId="0" borderId="1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/>
    </xf>
    <xf numFmtId="17" fontId="2" fillId="0" borderId="8" xfId="0" quotePrefix="1" applyNumberFormat="1" applyFont="1" applyBorder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center" vertical="center"/>
    </xf>
    <xf numFmtId="0" fontId="0" fillId="0" borderId="8" xfId="0" quotePrefix="1" applyBorder="1" applyAlignment="1">
      <alignment horizontal="left" vertical="center"/>
    </xf>
    <xf numFmtId="17" fontId="0" fillId="0" borderId="8" xfId="0" quotePrefix="1" applyNumberFormat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0" fontId="13" fillId="8" borderId="32" xfId="0" applyFont="1" applyFill="1" applyBorder="1" applyAlignment="1">
      <alignment horizontal="left" vertical="center" wrapText="1"/>
    </xf>
    <xf numFmtId="0" fontId="13" fillId="8" borderId="27" xfId="0" applyFont="1" applyFill="1" applyBorder="1" applyAlignment="1">
      <alignment horizontal="left" vertical="center" wrapText="1"/>
    </xf>
    <xf numFmtId="0" fontId="13" fillId="8" borderId="28" xfId="0" applyFont="1" applyFill="1" applyBorder="1" applyAlignment="1">
      <alignment horizontal="left" vertical="center" wrapText="1"/>
    </xf>
    <xf numFmtId="0" fontId="13" fillId="8" borderId="31" xfId="0" applyFont="1" applyFill="1" applyBorder="1" applyAlignment="1">
      <alignment horizontal="left" vertical="center" wrapText="1"/>
    </xf>
    <xf numFmtId="0" fontId="13" fillId="8" borderId="12" xfId="0" applyFont="1" applyFill="1" applyBorder="1" applyAlignment="1">
      <alignment horizontal="left" vertical="center" wrapText="1"/>
    </xf>
    <xf numFmtId="0" fontId="13" fillId="8" borderId="30" xfId="0" applyFont="1" applyFill="1" applyBorder="1" applyAlignment="1">
      <alignment horizontal="left" vertical="center" wrapText="1"/>
    </xf>
    <xf numFmtId="0" fontId="2" fillId="0" borderId="3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0" fontId="0" fillId="8" borderId="32" xfId="0" applyFill="1" applyBorder="1" applyAlignment="1">
      <alignment horizontal="left" vertical="center"/>
    </xf>
    <xf numFmtId="0" fontId="0" fillId="8" borderId="27" xfId="0" applyFill="1" applyBorder="1" applyAlignment="1">
      <alignment horizontal="left" vertical="center"/>
    </xf>
    <xf numFmtId="0" fontId="0" fillId="8" borderId="28" xfId="0" applyFill="1" applyBorder="1" applyAlignment="1">
      <alignment horizontal="left" vertical="center"/>
    </xf>
    <xf numFmtId="0" fontId="0" fillId="8" borderId="31" xfId="0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0" fontId="0" fillId="8" borderId="30" xfId="0" applyFill="1" applyBorder="1" applyAlignment="1">
      <alignment horizontal="left" vertical="center"/>
    </xf>
    <xf numFmtId="0" fontId="15" fillId="8" borderId="32" xfId="0" applyFont="1" applyFill="1" applyBorder="1" applyAlignment="1">
      <alignment horizontal="left" vertical="center" wrapText="1"/>
    </xf>
    <xf numFmtId="0" fontId="15" fillId="8" borderId="27" xfId="0" applyFont="1" applyFill="1" applyBorder="1" applyAlignment="1">
      <alignment horizontal="left" vertical="center" wrapText="1"/>
    </xf>
    <xf numFmtId="0" fontId="15" fillId="8" borderId="28" xfId="0" applyFont="1" applyFill="1" applyBorder="1" applyAlignment="1">
      <alignment horizontal="left" vertical="center" wrapText="1"/>
    </xf>
    <xf numFmtId="0" fontId="15" fillId="8" borderId="31" xfId="0" applyFont="1" applyFill="1" applyBorder="1" applyAlignment="1">
      <alignment horizontal="left" vertical="center" wrapText="1"/>
    </xf>
    <xf numFmtId="0" fontId="15" fillId="8" borderId="12" xfId="0" applyFont="1" applyFill="1" applyBorder="1" applyAlignment="1">
      <alignment horizontal="left" vertical="center" wrapText="1"/>
    </xf>
    <xf numFmtId="0" fontId="15" fillId="8" borderId="30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0" fontId="0" fillId="8" borderId="40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29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0" fillId="6" borderId="32" xfId="0" applyFill="1" applyBorder="1" applyAlignment="1">
      <alignment horizontal="left" vertical="center" wrapText="1"/>
    </xf>
    <xf numFmtId="0" fontId="0" fillId="6" borderId="27" xfId="0" applyFill="1" applyBorder="1" applyAlignment="1">
      <alignment horizontal="left" vertical="center" wrapText="1"/>
    </xf>
    <xf numFmtId="0" fontId="0" fillId="6" borderId="28" xfId="0" applyFill="1" applyBorder="1" applyAlignment="1">
      <alignment horizontal="left" vertical="center" wrapText="1"/>
    </xf>
    <xf numFmtId="0" fontId="0" fillId="6" borderId="40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30" xfId="0" applyFill="1" applyBorder="1" applyAlignment="1">
      <alignment horizontal="left" vertical="center" wrapText="1"/>
    </xf>
    <xf numFmtId="0" fontId="5" fillId="6" borderId="8" xfId="0" quotePrefix="1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164" fontId="0" fillId="0" borderId="3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7" fontId="2" fillId="6" borderId="34" xfId="0" quotePrefix="1" applyNumberFormat="1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2" fillId="6" borderId="34" xfId="0" quotePrefix="1" applyFont="1" applyFill="1" applyBorder="1" applyAlignment="1">
      <alignment horizontal="center"/>
    </xf>
    <xf numFmtId="17" fontId="2" fillId="6" borderId="34" xfId="0" applyNumberFormat="1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27">
    <dxf>
      <font>
        <color rgb="FF9C0006"/>
      </font>
    </dxf>
    <dxf>
      <font>
        <color rgb="FF00B050"/>
      </font>
    </dxf>
    <dxf>
      <font>
        <b/>
        <i val="0"/>
        <color rgb="FF00B05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customXml" Target="../customXml/item2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styles" Target="styles.xml" /><Relationship Id="rId35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5C5B-20C2-43EF-BF97-54DE5D0BA567}">
  <dimension ref="A1:H52"/>
  <sheetViews>
    <sheetView workbookViewId="0">
      <selection activeCell="C5" sqref="C5"/>
    </sheetView>
  </sheetViews>
  <sheetFormatPr defaultRowHeight="15" x14ac:dyDescent="0.2"/>
  <cols>
    <col min="1" max="5" width="15.6015625" customWidth="1"/>
    <col min="6" max="6" width="21.38671875" customWidth="1"/>
    <col min="7" max="7" width="15.6015625" customWidth="1"/>
    <col min="8" max="8" width="22.05859375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pans="1:8" x14ac:dyDescent="0.2">
      <c r="A4" s="332">
        <v>46111</v>
      </c>
      <c r="B4" s="8" t="s">
        <v>9</v>
      </c>
      <c r="C4" s="8" t="s">
        <v>10</v>
      </c>
      <c r="D4" s="8"/>
      <c r="E4" s="8" t="s">
        <v>11</v>
      </c>
      <c r="F4" s="8" t="s">
        <v>12</v>
      </c>
      <c r="G4" s="47" t="s">
        <v>13</v>
      </c>
      <c r="H4" s="8"/>
    </row>
    <row r="5" spans="1:8" x14ac:dyDescent="0.2">
      <c r="A5" s="333"/>
      <c r="B5" s="8" t="s">
        <v>14</v>
      </c>
      <c r="C5" s="8" t="s">
        <v>15</v>
      </c>
      <c r="D5" s="8"/>
      <c r="E5" s="8" t="s">
        <v>16</v>
      </c>
      <c r="F5" s="8" t="s">
        <v>17</v>
      </c>
      <c r="G5" s="19" t="s">
        <v>18</v>
      </c>
      <c r="H5" s="10"/>
    </row>
    <row r="6" spans="1:8" x14ac:dyDescent="0.2">
      <c r="A6" s="333"/>
      <c r="B6" s="8" t="s">
        <v>14</v>
      </c>
      <c r="C6" s="8" t="s">
        <v>19</v>
      </c>
      <c r="D6" s="8"/>
      <c r="E6" s="8" t="s">
        <v>16</v>
      </c>
      <c r="F6" s="8" t="s">
        <v>17</v>
      </c>
      <c r="G6" s="19" t="s">
        <v>18</v>
      </c>
      <c r="H6" s="10"/>
    </row>
    <row r="7" spans="1:8" x14ac:dyDescent="0.2">
      <c r="A7" s="333"/>
      <c r="B7" s="8" t="s">
        <v>20</v>
      </c>
      <c r="C7" s="10"/>
      <c r="D7" s="10"/>
      <c r="E7" s="8" t="s">
        <v>21</v>
      </c>
      <c r="F7" s="10"/>
      <c r="G7" s="10"/>
      <c r="H7" s="10"/>
    </row>
    <row r="8" spans="1:8" x14ac:dyDescent="0.2">
      <c r="A8" s="333"/>
      <c r="B8" s="8" t="s">
        <v>22</v>
      </c>
      <c r="C8" s="8" t="s">
        <v>23</v>
      </c>
      <c r="D8" s="8"/>
      <c r="E8" s="8" t="s">
        <v>24</v>
      </c>
      <c r="F8" s="8" t="s">
        <v>25</v>
      </c>
      <c r="G8" s="19" t="s">
        <v>18</v>
      </c>
      <c r="H8" s="10"/>
    </row>
    <row r="9" spans="1:8" x14ac:dyDescent="0.2">
      <c r="A9" s="333"/>
      <c r="B9" s="8" t="s">
        <v>26</v>
      </c>
      <c r="C9" s="8" t="s">
        <v>27</v>
      </c>
      <c r="D9" s="8"/>
      <c r="E9" s="8" t="s">
        <v>28</v>
      </c>
      <c r="F9" s="10"/>
      <c r="G9" s="10"/>
      <c r="H9" s="10"/>
    </row>
    <row r="10" spans="1:8" x14ac:dyDescent="0.2">
      <c r="A10" s="333"/>
      <c r="B10" s="8" t="s">
        <v>26</v>
      </c>
      <c r="C10" s="8" t="s">
        <v>29</v>
      </c>
      <c r="D10" s="8"/>
      <c r="E10" s="8" t="s">
        <v>28</v>
      </c>
      <c r="F10" s="10"/>
      <c r="G10" s="10"/>
      <c r="H10" s="10"/>
    </row>
    <row r="11" spans="1:8" x14ac:dyDescent="0.2">
      <c r="A11" s="333"/>
      <c r="B11" s="8" t="s">
        <v>26</v>
      </c>
      <c r="C11" s="8" t="s">
        <v>30</v>
      </c>
      <c r="D11" s="8"/>
      <c r="E11" s="8" t="s">
        <v>28</v>
      </c>
      <c r="F11" s="10"/>
      <c r="G11" s="10"/>
      <c r="H11" s="10"/>
    </row>
    <row r="12" spans="1:8" x14ac:dyDescent="0.2">
      <c r="A12" s="334"/>
      <c r="B12" s="8" t="s">
        <v>26</v>
      </c>
      <c r="C12" s="8" t="s">
        <v>31</v>
      </c>
      <c r="D12" s="8"/>
      <c r="E12" s="8" t="s">
        <v>28</v>
      </c>
      <c r="F12" s="10"/>
      <c r="G12" s="10"/>
      <c r="H12" s="10"/>
    </row>
    <row r="14" spans="1:8" x14ac:dyDescent="0.2">
      <c r="A14" s="332">
        <v>46112</v>
      </c>
      <c r="B14" s="8" t="s">
        <v>9</v>
      </c>
      <c r="C14" s="8"/>
      <c r="D14" s="8"/>
      <c r="E14" s="8" t="s">
        <v>11</v>
      </c>
      <c r="F14" s="8"/>
      <c r="G14" s="8"/>
      <c r="H14" s="8"/>
    </row>
    <row r="15" spans="1:8" x14ac:dyDescent="0.2">
      <c r="A15" s="333"/>
      <c r="B15" s="8" t="s">
        <v>14</v>
      </c>
      <c r="C15" s="8"/>
      <c r="D15" s="8"/>
      <c r="E15" s="8" t="s">
        <v>16</v>
      </c>
      <c r="F15" s="8"/>
      <c r="G15" s="8"/>
      <c r="H15" s="10"/>
    </row>
    <row r="16" spans="1:8" x14ac:dyDescent="0.2">
      <c r="A16" s="333"/>
      <c r="B16" s="8" t="s">
        <v>14</v>
      </c>
      <c r="C16" s="8"/>
      <c r="D16" s="8"/>
      <c r="E16" s="8" t="s">
        <v>16</v>
      </c>
      <c r="F16" s="8"/>
      <c r="G16" s="8"/>
      <c r="H16" s="10"/>
    </row>
    <row r="17" spans="1:8" x14ac:dyDescent="0.2">
      <c r="A17" s="333"/>
      <c r="B17" s="8" t="s">
        <v>20</v>
      </c>
      <c r="C17" s="10"/>
      <c r="D17" s="10"/>
      <c r="E17" s="8" t="s">
        <v>21</v>
      </c>
      <c r="F17" s="10"/>
      <c r="G17" s="10"/>
      <c r="H17" s="10"/>
    </row>
    <row r="18" spans="1:8" x14ac:dyDescent="0.2">
      <c r="A18" s="333"/>
      <c r="B18" s="8" t="s">
        <v>22</v>
      </c>
      <c r="C18" s="8"/>
      <c r="D18" s="8"/>
      <c r="E18" s="8" t="s">
        <v>24</v>
      </c>
      <c r="F18" s="8"/>
      <c r="G18" s="8"/>
      <c r="H18" s="10"/>
    </row>
    <row r="19" spans="1:8" x14ac:dyDescent="0.2">
      <c r="A19" s="333"/>
      <c r="B19" s="8" t="s">
        <v>26</v>
      </c>
      <c r="C19" s="8"/>
      <c r="D19" s="8"/>
      <c r="E19" s="8" t="s">
        <v>28</v>
      </c>
      <c r="F19" s="10"/>
      <c r="G19" s="10"/>
      <c r="H19" s="10"/>
    </row>
    <row r="20" spans="1:8" x14ac:dyDescent="0.2">
      <c r="A20" s="333"/>
      <c r="B20" s="8" t="s">
        <v>26</v>
      </c>
      <c r="C20" s="8"/>
      <c r="D20" s="8"/>
      <c r="E20" s="8" t="s">
        <v>28</v>
      </c>
      <c r="F20" s="10"/>
      <c r="G20" s="10"/>
      <c r="H20" s="10"/>
    </row>
    <row r="21" spans="1:8" x14ac:dyDescent="0.2">
      <c r="A21" s="333"/>
      <c r="B21" s="8" t="s">
        <v>26</v>
      </c>
      <c r="C21" s="8"/>
      <c r="D21" s="8"/>
      <c r="E21" s="8" t="s">
        <v>28</v>
      </c>
      <c r="F21" s="10"/>
      <c r="G21" s="10"/>
      <c r="H21" s="10"/>
    </row>
    <row r="22" spans="1:8" x14ac:dyDescent="0.2">
      <c r="A22" s="334"/>
      <c r="B22" s="8" t="s">
        <v>26</v>
      </c>
      <c r="C22" s="8"/>
      <c r="D22" s="8"/>
      <c r="E22" s="8" t="s">
        <v>28</v>
      </c>
      <c r="F22" s="10"/>
      <c r="G22" s="10"/>
      <c r="H22" s="10"/>
    </row>
    <row r="24" spans="1:8" x14ac:dyDescent="0.2">
      <c r="A24" s="332">
        <v>46113</v>
      </c>
      <c r="B24" s="8" t="s">
        <v>9</v>
      </c>
      <c r="C24" s="8"/>
      <c r="D24" s="8"/>
      <c r="E24" s="8" t="s">
        <v>11</v>
      </c>
      <c r="F24" s="8"/>
      <c r="G24" s="8"/>
      <c r="H24" s="8"/>
    </row>
    <row r="25" spans="1:8" x14ac:dyDescent="0.2">
      <c r="A25" s="333"/>
      <c r="B25" s="8" t="s">
        <v>14</v>
      </c>
      <c r="C25" s="8"/>
      <c r="D25" s="8"/>
      <c r="E25" s="8" t="s">
        <v>16</v>
      </c>
      <c r="F25" s="8"/>
      <c r="G25" s="8"/>
      <c r="H25" s="10"/>
    </row>
    <row r="26" spans="1:8" x14ac:dyDescent="0.2">
      <c r="A26" s="333"/>
      <c r="B26" s="8" t="s">
        <v>14</v>
      </c>
      <c r="C26" s="8"/>
      <c r="D26" s="8"/>
      <c r="E26" s="8" t="s">
        <v>16</v>
      </c>
      <c r="F26" s="8"/>
      <c r="G26" s="8"/>
      <c r="H26" s="10"/>
    </row>
    <row r="27" spans="1:8" x14ac:dyDescent="0.2">
      <c r="A27" s="333"/>
      <c r="B27" s="8" t="s">
        <v>20</v>
      </c>
      <c r="C27" s="10"/>
      <c r="D27" s="10"/>
      <c r="E27" s="8" t="s">
        <v>21</v>
      </c>
      <c r="F27" s="10"/>
      <c r="G27" s="10"/>
      <c r="H27" s="10"/>
    </row>
    <row r="28" spans="1:8" x14ac:dyDescent="0.2">
      <c r="A28" s="333"/>
      <c r="B28" s="8" t="s">
        <v>22</v>
      </c>
      <c r="C28" s="8"/>
      <c r="D28" s="8"/>
      <c r="E28" s="8" t="s">
        <v>24</v>
      </c>
      <c r="F28" s="8"/>
      <c r="G28" s="8"/>
      <c r="H28" s="10"/>
    </row>
    <row r="29" spans="1:8" x14ac:dyDescent="0.2">
      <c r="A29" s="333"/>
      <c r="B29" s="8" t="s">
        <v>26</v>
      </c>
      <c r="C29" s="8"/>
      <c r="D29" s="8"/>
      <c r="E29" s="8" t="s">
        <v>28</v>
      </c>
      <c r="F29" s="10"/>
      <c r="G29" s="10"/>
      <c r="H29" s="10"/>
    </row>
    <row r="30" spans="1:8" x14ac:dyDescent="0.2">
      <c r="A30" s="333"/>
      <c r="B30" s="8" t="s">
        <v>26</v>
      </c>
      <c r="C30" s="8"/>
      <c r="D30" s="8"/>
      <c r="E30" s="8" t="s">
        <v>28</v>
      </c>
      <c r="F30" s="10"/>
      <c r="G30" s="10"/>
      <c r="H30" s="10"/>
    </row>
    <row r="31" spans="1:8" x14ac:dyDescent="0.2">
      <c r="A31" s="333"/>
      <c r="B31" s="8" t="s">
        <v>26</v>
      </c>
      <c r="C31" s="8"/>
      <c r="D31" s="8"/>
      <c r="E31" s="8" t="s">
        <v>28</v>
      </c>
      <c r="F31" s="10"/>
      <c r="G31" s="10"/>
      <c r="H31" s="10"/>
    </row>
    <row r="32" spans="1:8" x14ac:dyDescent="0.2">
      <c r="A32" s="334"/>
      <c r="B32" s="8" t="s">
        <v>26</v>
      </c>
      <c r="C32" s="8"/>
      <c r="D32" s="8"/>
      <c r="E32" s="8" t="s">
        <v>28</v>
      </c>
      <c r="F32" s="10"/>
      <c r="G32" s="10"/>
      <c r="H32" s="10"/>
    </row>
    <row r="34" spans="1:8" x14ac:dyDescent="0.2">
      <c r="A34" s="332">
        <v>46114</v>
      </c>
      <c r="B34" s="8" t="s">
        <v>9</v>
      </c>
      <c r="C34" s="8"/>
      <c r="D34" s="8"/>
      <c r="E34" s="8" t="s">
        <v>11</v>
      </c>
      <c r="F34" s="8"/>
      <c r="G34" s="8"/>
      <c r="H34" s="8"/>
    </row>
    <row r="35" spans="1:8" x14ac:dyDescent="0.2">
      <c r="A35" s="333"/>
      <c r="B35" s="8" t="s">
        <v>14</v>
      </c>
      <c r="C35" s="8"/>
      <c r="D35" s="8"/>
      <c r="E35" s="8" t="s">
        <v>16</v>
      </c>
      <c r="F35" s="8"/>
      <c r="G35" s="8"/>
      <c r="H35" s="10"/>
    </row>
    <row r="36" spans="1:8" x14ac:dyDescent="0.2">
      <c r="A36" s="333"/>
      <c r="B36" s="8" t="s">
        <v>14</v>
      </c>
      <c r="C36" s="8"/>
      <c r="D36" s="8"/>
      <c r="E36" s="8" t="s">
        <v>16</v>
      </c>
      <c r="F36" s="8"/>
      <c r="G36" s="8"/>
      <c r="H36" s="10"/>
    </row>
    <row r="37" spans="1:8" x14ac:dyDescent="0.2">
      <c r="A37" s="333"/>
      <c r="B37" s="8" t="s">
        <v>20</v>
      </c>
      <c r="C37" s="10"/>
      <c r="D37" s="10"/>
      <c r="E37" s="8" t="s">
        <v>21</v>
      </c>
      <c r="F37" s="10"/>
      <c r="G37" s="10"/>
      <c r="H37" s="10"/>
    </row>
    <row r="38" spans="1:8" x14ac:dyDescent="0.2">
      <c r="A38" s="333"/>
      <c r="B38" s="8" t="s">
        <v>22</v>
      </c>
      <c r="C38" s="8"/>
      <c r="D38" s="8"/>
      <c r="E38" s="8" t="s">
        <v>24</v>
      </c>
      <c r="F38" s="8"/>
      <c r="G38" s="8"/>
      <c r="H38" s="10"/>
    </row>
    <row r="39" spans="1:8" x14ac:dyDescent="0.2">
      <c r="A39" s="333"/>
      <c r="B39" s="8" t="s">
        <v>26</v>
      </c>
      <c r="C39" s="8"/>
      <c r="D39" s="8"/>
      <c r="E39" s="8" t="s">
        <v>28</v>
      </c>
      <c r="F39" s="10"/>
      <c r="G39" s="10"/>
      <c r="H39" s="10"/>
    </row>
    <row r="40" spans="1:8" x14ac:dyDescent="0.2">
      <c r="A40" s="333"/>
      <c r="B40" s="8" t="s">
        <v>26</v>
      </c>
      <c r="C40" s="8"/>
      <c r="D40" s="8"/>
      <c r="E40" s="8" t="s">
        <v>28</v>
      </c>
      <c r="F40" s="10"/>
      <c r="G40" s="10"/>
      <c r="H40" s="10"/>
    </row>
    <row r="41" spans="1:8" x14ac:dyDescent="0.2">
      <c r="A41" s="333"/>
      <c r="B41" s="8" t="s">
        <v>26</v>
      </c>
      <c r="C41" s="8"/>
      <c r="D41" s="8"/>
      <c r="E41" s="8" t="s">
        <v>28</v>
      </c>
      <c r="F41" s="10"/>
      <c r="G41" s="10"/>
      <c r="H41" s="10"/>
    </row>
    <row r="42" spans="1:8" x14ac:dyDescent="0.2">
      <c r="A42" s="334"/>
      <c r="B42" s="8" t="s">
        <v>26</v>
      </c>
      <c r="C42" s="8"/>
      <c r="D42" s="8"/>
      <c r="E42" s="8" t="s">
        <v>28</v>
      </c>
      <c r="F42" s="10"/>
      <c r="G42" s="10"/>
      <c r="H42" s="10"/>
    </row>
    <row r="44" spans="1:8" x14ac:dyDescent="0.2">
      <c r="A44" s="332">
        <v>46115</v>
      </c>
      <c r="B44" s="8" t="s">
        <v>9</v>
      </c>
      <c r="C44" s="8"/>
      <c r="D44" s="8"/>
      <c r="E44" s="8" t="s">
        <v>11</v>
      </c>
      <c r="F44" s="8"/>
      <c r="G44" s="8"/>
      <c r="H44" s="8"/>
    </row>
    <row r="45" spans="1:8" x14ac:dyDescent="0.2">
      <c r="A45" s="333"/>
      <c r="B45" s="8" t="s">
        <v>14</v>
      </c>
      <c r="C45" s="8"/>
      <c r="D45" s="8"/>
      <c r="E45" s="8" t="s">
        <v>16</v>
      </c>
      <c r="F45" s="8"/>
      <c r="G45" s="8"/>
      <c r="H45" s="10"/>
    </row>
    <row r="46" spans="1:8" x14ac:dyDescent="0.2">
      <c r="A46" s="333"/>
      <c r="B46" s="8" t="s">
        <v>14</v>
      </c>
      <c r="C46" s="8"/>
      <c r="D46" s="8"/>
      <c r="E46" s="8" t="s">
        <v>16</v>
      </c>
      <c r="F46" s="8"/>
      <c r="G46" s="8"/>
      <c r="H46" s="10"/>
    </row>
    <row r="47" spans="1:8" x14ac:dyDescent="0.2">
      <c r="A47" s="333"/>
      <c r="B47" s="8" t="s">
        <v>20</v>
      </c>
      <c r="C47" s="10"/>
      <c r="D47" s="10"/>
      <c r="E47" s="8" t="s">
        <v>21</v>
      </c>
      <c r="F47" s="10"/>
      <c r="G47" s="10"/>
      <c r="H47" s="10"/>
    </row>
    <row r="48" spans="1:8" x14ac:dyDescent="0.2">
      <c r="A48" s="333"/>
      <c r="B48" s="8" t="s">
        <v>22</v>
      </c>
      <c r="C48" s="8"/>
      <c r="D48" s="8"/>
      <c r="E48" s="8" t="s">
        <v>24</v>
      </c>
      <c r="F48" s="8"/>
      <c r="G48" s="8"/>
      <c r="H48" s="10"/>
    </row>
    <row r="49" spans="1:8" x14ac:dyDescent="0.2">
      <c r="A49" s="333"/>
      <c r="B49" s="8" t="s">
        <v>26</v>
      </c>
      <c r="C49" s="8"/>
      <c r="D49" s="8"/>
      <c r="E49" s="8" t="s">
        <v>28</v>
      </c>
      <c r="F49" s="10"/>
      <c r="G49" s="10"/>
      <c r="H49" s="10"/>
    </row>
    <row r="50" spans="1:8" x14ac:dyDescent="0.2">
      <c r="A50" s="333"/>
      <c r="B50" s="8" t="s">
        <v>26</v>
      </c>
      <c r="C50" s="8"/>
      <c r="D50" s="8"/>
      <c r="E50" s="8" t="s">
        <v>28</v>
      </c>
      <c r="F50" s="10"/>
      <c r="G50" s="10"/>
      <c r="H50" s="10"/>
    </row>
    <row r="51" spans="1:8" x14ac:dyDescent="0.2">
      <c r="A51" s="333"/>
      <c r="B51" s="8" t="s">
        <v>26</v>
      </c>
      <c r="C51" s="8"/>
      <c r="D51" s="8"/>
      <c r="E51" s="8" t="s">
        <v>28</v>
      </c>
      <c r="F51" s="10"/>
      <c r="G51" s="10"/>
      <c r="H51" s="10"/>
    </row>
    <row r="52" spans="1:8" x14ac:dyDescent="0.2">
      <c r="A52" s="334"/>
      <c r="B52" s="8" t="s">
        <v>26</v>
      </c>
      <c r="C52" s="8"/>
      <c r="D52" s="8"/>
      <c r="E52" s="8" t="s">
        <v>28</v>
      </c>
      <c r="F52" s="10"/>
      <c r="G52" s="10"/>
      <c r="H52" s="10"/>
    </row>
  </sheetData>
  <mergeCells count="5">
    <mergeCell ref="A4:A12"/>
    <mergeCell ref="A14:A22"/>
    <mergeCell ref="A24:A32"/>
    <mergeCell ref="A34:A42"/>
    <mergeCell ref="A44:A5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5993-F49A-4A8E-AF3B-C09DCD0955F0}">
  <dimension ref="A1:N86"/>
  <sheetViews>
    <sheetView workbookViewId="0">
      <selection activeCell="B11" sqref="B11"/>
    </sheetView>
  </sheetViews>
  <sheetFormatPr defaultRowHeight="15" x14ac:dyDescent="0.2"/>
  <cols>
    <col min="1" max="1" width="10.4921875" customWidth="1"/>
    <col min="2" max="2" width="20.58203125" style="2" customWidth="1"/>
    <col min="3" max="21" width="20.58203125" customWidth="1"/>
  </cols>
  <sheetData>
    <row r="1" spans="1:11" ht="18.75" x14ac:dyDescent="0.25">
      <c r="A1" s="1" t="s">
        <v>32</v>
      </c>
    </row>
    <row r="3" spans="1:11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</row>
    <row r="4" spans="1:11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</row>
    <row r="5" spans="1:11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</row>
    <row r="6" spans="1:11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</row>
    <row r="7" spans="1:11" x14ac:dyDescent="0.2">
      <c r="A7" s="335">
        <v>46111</v>
      </c>
      <c r="B7" s="11" t="s">
        <v>48</v>
      </c>
      <c r="C7" s="11" t="s">
        <v>49</v>
      </c>
      <c r="D7" s="11" t="s">
        <v>50</v>
      </c>
      <c r="E7" s="11"/>
      <c r="F7" s="11"/>
      <c r="G7" s="11"/>
      <c r="H7" s="11" t="s">
        <v>51</v>
      </c>
      <c r="I7" s="11" t="s">
        <v>52</v>
      </c>
      <c r="J7" s="11" t="s">
        <v>52</v>
      </c>
      <c r="K7" s="339"/>
    </row>
    <row r="8" spans="1:11" ht="45" customHeight="1" x14ac:dyDescent="0.2">
      <c r="A8" s="335"/>
      <c r="B8" s="9" t="s">
        <v>53</v>
      </c>
      <c r="C8" s="9" t="s">
        <v>54</v>
      </c>
      <c r="D8" s="9" t="s">
        <v>55</v>
      </c>
      <c r="E8" s="9"/>
      <c r="F8" s="9"/>
      <c r="G8" s="9"/>
      <c r="H8" s="9">
        <v>8260097614</v>
      </c>
      <c r="I8" s="9">
        <v>8260097616</v>
      </c>
      <c r="J8" s="9">
        <v>8260097615</v>
      </c>
      <c r="K8" s="339"/>
    </row>
    <row r="9" spans="1:11" x14ac:dyDescent="0.2">
      <c r="A9" s="336">
        <v>46112</v>
      </c>
      <c r="B9" s="16" t="s">
        <v>56</v>
      </c>
      <c r="C9" s="16" t="s">
        <v>57</v>
      </c>
      <c r="D9" s="16" t="s">
        <v>57</v>
      </c>
      <c r="E9" s="16" t="s">
        <v>58</v>
      </c>
      <c r="F9" s="16" t="s">
        <v>59</v>
      </c>
      <c r="G9" s="16" t="s">
        <v>60</v>
      </c>
      <c r="H9" s="16" t="s">
        <v>61</v>
      </c>
      <c r="I9" s="16" t="s">
        <v>62</v>
      </c>
      <c r="J9" s="16" t="s">
        <v>62</v>
      </c>
      <c r="K9" s="340"/>
    </row>
    <row r="10" spans="1:11" ht="64.5" customHeight="1" x14ac:dyDescent="0.2">
      <c r="A10" s="336"/>
      <c r="B10" s="9" t="s">
        <v>63</v>
      </c>
      <c r="C10" s="9" t="s">
        <v>64</v>
      </c>
      <c r="D10" s="9" t="s">
        <v>65</v>
      </c>
      <c r="E10" s="9" t="s">
        <v>66</v>
      </c>
      <c r="F10" s="9">
        <v>8260097631</v>
      </c>
      <c r="G10" s="9">
        <v>8260097611</v>
      </c>
      <c r="H10" s="9">
        <v>8260097689</v>
      </c>
      <c r="I10" s="9">
        <v>8260097688</v>
      </c>
      <c r="J10" s="9">
        <v>8260097687</v>
      </c>
      <c r="K10" s="340"/>
    </row>
    <row r="11" spans="1:11" x14ac:dyDescent="0.2">
      <c r="A11" s="336">
        <v>46113</v>
      </c>
      <c r="B11" s="20" t="s">
        <v>67</v>
      </c>
      <c r="C11" s="20" t="s">
        <v>68</v>
      </c>
      <c r="D11" s="20" t="s">
        <v>68</v>
      </c>
      <c r="E11" s="12"/>
      <c r="F11" s="12"/>
      <c r="G11" s="12"/>
      <c r="H11" s="87" t="s">
        <v>69</v>
      </c>
      <c r="I11" s="21" t="s">
        <v>70</v>
      </c>
      <c r="J11" s="88" t="s">
        <v>70</v>
      </c>
      <c r="K11" s="340"/>
    </row>
    <row r="12" spans="1:11" ht="45" customHeight="1" x14ac:dyDescent="0.2">
      <c r="A12" s="336"/>
      <c r="B12" s="9" t="s">
        <v>71</v>
      </c>
      <c r="C12" s="9" t="s">
        <v>72</v>
      </c>
      <c r="D12" s="9">
        <v>8260097703</v>
      </c>
      <c r="E12" s="9"/>
      <c r="F12" s="9"/>
      <c r="G12" s="9"/>
      <c r="H12" s="9">
        <v>8260097767</v>
      </c>
      <c r="I12" s="9">
        <v>8260097766</v>
      </c>
      <c r="J12" s="9">
        <v>8260097765</v>
      </c>
      <c r="K12" s="340"/>
    </row>
    <row r="13" spans="1:11" x14ac:dyDescent="0.2">
      <c r="A13" s="336">
        <v>46114</v>
      </c>
      <c r="B13" s="20" t="s">
        <v>73</v>
      </c>
      <c r="C13" s="12" t="s">
        <v>74</v>
      </c>
      <c r="D13" s="20" t="s">
        <v>74</v>
      </c>
      <c r="E13" s="12" t="s">
        <v>75</v>
      </c>
      <c r="F13" s="12" t="s">
        <v>76</v>
      </c>
      <c r="G13" s="12"/>
      <c r="H13" s="87" t="s">
        <v>77</v>
      </c>
      <c r="I13" s="39" t="s">
        <v>78</v>
      </c>
      <c r="J13" s="39" t="s">
        <v>78</v>
      </c>
      <c r="K13" s="339"/>
    </row>
    <row r="14" spans="1:11" ht="45" customHeight="1" x14ac:dyDescent="0.2">
      <c r="A14" s="336"/>
      <c r="B14" s="9" t="s">
        <v>79</v>
      </c>
      <c r="C14" s="9">
        <v>8260097779</v>
      </c>
      <c r="D14" s="9" t="s">
        <v>80</v>
      </c>
      <c r="E14" s="7">
        <v>8260097781</v>
      </c>
      <c r="F14" s="7">
        <v>8260097782</v>
      </c>
      <c r="G14" s="7"/>
      <c r="H14" s="7">
        <v>8260097842</v>
      </c>
      <c r="I14" s="9">
        <v>8260097843</v>
      </c>
      <c r="J14" s="7">
        <v>8260097841</v>
      </c>
      <c r="K14" s="339"/>
    </row>
    <row r="15" spans="1:11" x14ac:dyDescent="0.2">
      <c r="A15" s="336">
        <v>46115</v>
      </c>
      <c r="B15" s="12"/>
      <c r="C15" s="12"/>
      <c r="D15" s="12"/>
      <c r="E15" s="12"/>
      <c r="F15" s="12"/>
      <c r="G15" s="12"/>
      <c r="H15" s="12"/>
      <c r="I15" s="12"/>
      <c r="J15" s="12"/>
      <c r="K15" s="341" t="s">
        <v>81</v>
      </c>
    </row>
    <row r="16" spans="1:11" ht="45" customHeight="1" x14ac:dyDescent="0.2">
      <c r="A16" s="336"/>
      <c r="B16" s="7"/>
      <c r="C16" s="7"/>
      <c r="D16" s="7"/>
      <c r="E16" s="7"/>
      <c r="F16" s="7"/>
      <c r="G16" s="7"/>
      <c r="H16" s="7"/>
      <c r="I16" s="9"/>
      <c r="J16" s="7"/>
      <c r="K16" s="341"/>
    </row>
    <row r="17" spans="1:7" x14ac:dyDescent="0.2">
      <c r="C17" s="2"/>
      <c r="D17" s="2"/>
      <c r="E17" s="2"/>
      <c r="F17" s="2"/>
      <c r="G17" s="2"/>
    </row>
    <row r="18" spans="1:7" x14ac:dyDescent="0.2">
      <c r="C18" s="2"/>
      <c r="D18" s="2"/>
      <c r="E18" s="2"/>
      <c r="F18" s="2"/>
      <c r="G18" s="2"/>
    </row>
    <row r="19" spans="1:7" x14ac:dyDescent="0.2">
      <c r="A19" s="280" t="s">
        <v>34</v>
      </c>
      <c r="B19" s="286" t="s">
        <v>82</v>
      </c>
      <c r="C19" s="286" t="s">
        <v>83</v>
      </c>
      <c r="D19" s="286" t="s">
        <v>84</v>
      </c>
      <c r="E19" s="2"/>
      <c r="F19" s="2"/>
      <c r="G19" s="2"/>
    </row>
    <row r="20" spans="1:7" x14ac:dyDescent="0.2">
      <c r="A20" s="280"/>
      <c r="B20" s="286"/>
      <c r="C20" s="286"/>
      <c r="D20" s="286"/>
      <c r="E20" s="2"/>
      <c r="F20" s="2"/>
      <c r="G20" s="2"/>
    </row>
    <row r="21" spans="1:7" s="6" customFormat="1" ht="20.100000000000001" customHeight="1" x14ac:dyDescent="0.2">
      <c r="A21" s="335">
        <v>46111</v>
      </c>
      <c r="B21" s="7" t="s">
        <v>85</v>
      </c>
      <c r="C21" s="7"/>
      <c r="D21" s="7"/>
      <c r="E21" s="3"/>
      <c r="F21" s="3"/>
      <c r="G21" s="3"/>
    </row>
    <row r="22" spans="1:7" s="6" customFormat="1" ht="20.100000000000001" customHeight="1" x14ac:dyDescent="0.2">
      <c r="A22" s="335"/>
      <c r="B22" s="11" t="s">
        <v>86</v>
      </c>
      <c r="C22" s="11"/>
      <c r="D22" s="11"/>
      <c r="E22" s="3"/>
      <c r="F22" s="3"/>
      <c r="G22" s="3"/>
    </row>
    <row r="23" spans="1:7" s="6" customFormat="1" ht="20.100000000000001" customHeight="1" x14ac:dyDescent="0.2">
      <c r="A23" s="336">
        <v>46112</v>
      </c>
      <c r="B23" s="7" t="s">
        <v>87</v>
      </c>
      <c r="C23" s="7"/>
      <c r="D23" s="7"/>
      <c r="E23" s="3"/>
      <c r="F23" s="3"/>
      <c r="G23" s="3"/>
    </row>
    <row r="24" spans="1:7" s="6" customFormat="1" ht="20.100000000000001" customHeight="1" x14ac:dyDescent="0.2">
      <c r="A24" s="336"/>
      <c r="B24" s="11" t="s">
        <v>88</v>
      </c>
      <c r="C24" s="11"/>
      <c r="D24" s="11"/>
      <c r="E24" s="3"/>
      <c r="F24" s="3"/>
      <c r="G24" s="3"/>
    </row>
    <row r="25" spans="1:7" s="6" customFormat="1" ht="20.100000000000001" customHeight="1" x14ac:dyDescent="0.2">
      <c r="A25" s="336">
        <v>46113</v>
      </c>
      <c r="B25" s="7" t="s">
        <v>89</v>
      </c>
      <c r="C25" s="7"/>
      <c r="D25" s="7"/>
      <c r="E25" s="3"/>
      <c r="F25" s="3"/>
      <c r="G25" s="3"/>
    </row>
    <row r="26" spans="1:7" s="6" customFormat="1" ht="20.100000000000001" customHeight="1" x14ac:dyDescent="0.2">
      <c r="A26" s="336"/>
      <c r="B26" s="11" t="s">
        <v>90</v>
      </c>
      <c r="C26" s="11"/>
      <c r="D26" s="11"/>
      <c r="E26" s="3"/>
      <c r="F26" s="3"/>
      <c r="G26" s="3"/>
    </row>
    <row r="27" spans="1:7" s="6" customFormat="1" ht="20.100000000000001" customHeight="1" x14ac:dyDescent="0.2">
      <c r="A27" s="336">
        <v>46114</v>
      </c>
      <c r="B27" s="7" t="s">
        <v>91</v>
      </c>
      <c r="C27" s="7" t="s">
        <v>92</v>
      </c>
      <c r="D27" s="7"/>
      <c r="E27" s="3"/>
      <c r="F27" s="3"/>
      <c r="G27" s="3"/>
    </row>
    <row r="28" spans="1:7" s="6" customFormat="1" ht="20.100000000000001" customHeight="1" x14ac:dyDescent="0.2">
      <c r="A28" s="336"/>
      <c r="B28" s="46" t="s">
        <v>93</v>
      </c>
      <c r="C28" s="46" t="s">
        <v>94</v>
      </c>
      <c r="D28" s="11"/>
      <c r="E28" s="3"/>
      <c r="F28" s="3"/>
      <c r="G28" s="3"/>
    </row>
    <row r="29" spans="1:7" s="6" customFormat="1" ht="20.100000000000001" customHeight="1" x14ac:dyDescent="0.2">
      <c r="A29" s="336">
        <v>46115</v>
      </c>
      <c r="B29" s="7" t="s">
        <v>23</v>
      </c>
      <c r="C29" s="7"/>
      <c r="D29" s="7"/>
      <c r="E29" s="3"/>
      <c r="F29" s="3"/>
      <c r="G29" s="3"/>
    </row>
    <row r="30" spans="1:7" s="6" customFormat="1" ht="20.100000000000001" customHeight="1" x14ac:dyDescent="0.2">
      <c r="A30" s="336"/>
      <c r="B30" s="46" t="s">
        <v>95</v>
      </c>
      <c r="C30" s="11"/>
      <c r="D30" s="11"/>
      <c r="E30" s="3"/>
      <c r="F30" s="3"/>
      <c r="G30" s="3"/>
    </row>
    <row r="31" spans="1:7" x14ac:dyDescent="0.2">
      <c r="C31" s="2"/>
      <c r="D31" s="2"/>
      <c r="E31" s="2"/>
      <c r="F31" s="2"/>
      <c r="G31" s="2"/>
    </row>
    <row r="32" spans="1:7" x14ac:dyDescent="0.2">
      <c r="C32" s="2"/>
      <c r="D32" s="2"/>
      <c r="E32" s="2"/>
      <c r="F32" s="2"/>
      <c r="G32" s="2"/>
    </row>
    <row r="33" spans="1:14" x14ac:dyDescent="0.2">
      <c r="A33" s="279" t="s">
        <v>96</v>
      </c>
      <c r="B33" s="279"/>
      <c r="C33" s="279"/>
      <c r="D33" s="279"/>
      <c r="E33" s="279"/>
      <c r="F33" s="279"/>
      <c r="G33" s="279"/>
      <c r="H33" s="279"/>
      <c r="I33" s="38"/>
      <c r="J33" s="38"/>
      <c r="K33" s="38"/>
    </row>
    <row r="34" spans="1:14" ht="27.75" x14ac:dyDescent="0.2">
      <c r="A34" s="280" t="s">
        <v>34</v>
      </c>
      <c r="B34" s="4" t="s">
        <v>97</v>
      </c>
      <c r="C34" s="5" t="s">
        <v>98</v>
      </c>
      <c r="D34" s="5" t="s">
        <v>99</v>
      </c>
      <c r="E34" s="5" t="s">
        <v>100</v>
      </c>
      <c r="F34" s="5" t="s">
        <v>101</v>
      </c>
      <c r="G34" s="5" t="s">
        <v>102</v>
      </c>
      <c r="H34" s="282" t="s">
        <v>8</v>
      </c>
    </row>
    <row r="35" spans="1:14" x14ac:dyDescent="0.2">
      <c r="A35" s="280"/>
      <c r="B35" s="14" t="s">
        <v>103</v>
      </c>
      <c r="C35" s="15" t="s">
        <v>104</v>
      </c>
      <c r="D35" s="15" t="s">
        <v>42</v>
      </c>
      <c r="E35" s="15" t="s">
        <v>105</v>
      </c>
      <c r="F35" s="15" t="s">
        <v>106</v>
      </c>
      <c r="G35" s="15" t="s">
        <v>107</v>
      </c>
      <c r="H35" s="282"/>
    </row>
    <row r="36" spans="1:14" x14ac:dyDescent="0.2">
      <c r="A36" s="335">
        <v>46111</v>
      </c>
      <c r="B36" s="11" t="s">
        <v>108</v>
      </c>
      <c r="C36" s="12" t="s">
        <v>109</v>
      </c>
      <c r="D36" s="12" t="s">
        <v>110</v>
      </c>
      <c r="E36" s="12" t="s">
        <v>111</v>
      </c>
      <c r="F36" s="11" t="s">
        <v>112</v>
      </c>
      <c r="G36" s="12" t="s">
        <v>113</v>
      </c>
      <c r="H36" s="337"/>
    </row>
    <row r="37" spans="1:14" ht="45" customHeight="1" x14ac:dyDescent="0.2">
      <c r="A37" s="335"/>
      <c r="B37" s="9">
        <v>8260097595</v>
      </c>
      <c r="C37" s="9">
        <v>8260097583</v>
      </c>
      <c r="D37" s="9">
        <v>8260097608</v>
      </c>
      <c r="E37" s="9">
        <v>8260097606</v>
      </c>
      <c r="F37" s="9" t="s">
        <v>114</v>
      </c>
      <c r="G37" s="9">
        <v>8260097584</v>
      </c>
      <c r="H37" s="338"/>
    </row>
    <row r="38" spans="1:14" x14ac:dyDescent="0.2">
      <c r="A38" s="332">
        <v>46112</v>
      </c>
      <c r="B38" s="11" t="s">
        <v>115</v>
      </c>
      <c r="C38" s="11" t="s">
        <v>116</v>
      </c>
      <c r="D38" s="11" t="s">
        <v>117</v>
      </c>
      <c r="E38" s="11" t="s">
        <v>118</v>
      </c>
      <c r="F38" s="11" t="s">
        <v>119</v>
      </c>
      <c r="G38" s="11" t="s">
        <v>120</v>
      </c>
      <c r="H38" s="326"/>
    </row>
    <row r="39" spans="1:14" ht="45" customHeight="1" x14ac:dyDescent="0.2">
      <c r="A39" s="334"/>
      <c r="B39" s="7">
        <v>8260097671</v>
      </c>
      <c r="C39" s="9" t="s">
        <v>121</v>
      </c>
      <c r="D39" s="7">
        <v>8260097676</v>
      </c>
      <c r="E39" s="7">
        <v>8260097678</v>
      </c>
      <c r="F39" s="7">
        <v>8260097677</v>
      </c>
      <c r="G39" s="7">
        <v>8260097664</v>
      </c>
      <c r="H39" s="328"/>
    </row>
    <row r="40" spans="1:14" x14ac:dyDescent="0.2">
      <c r="A40" s="332">
        <v>46113</v>
      </c>
      <c r="B40" s="11" t="s">
        <v>122</v>
      </c>
      <c r="C40" s="11" t="s">
        <v>123</v>
      </c>
      <c r="D40" s="11" t="s">
        <v>124</v>
      </c>
      <c r="E40" s="11" t="s">
        <v>125</v>
      </c>
      <c r="F40" s="11" t="s">
        <v>126</v>
      </c>
      <c r="G40" s="11" t="s">
        <v>127</v>
      </c>
      <c r="H40" s="326"/>
    </row>
    <row r="41" spans="1:14" ht="45" customHeight="1" x14ac:dyDescent="0.2">
      <c r="A41" s="334"/>
      <c r="B41" s="7">
        <v>8260097754</v>
      </c>
      <c r="C41" s="9" t="s">
        <v>128</v>
      </c>
      <c r="D41" s="7">
        <v>8260097735</v>
      </c>
      <c r="E41" s="7">
        <v>8260097756</v>
      </c>
      <c r="F41" s="7">
        <v>8260097744</v>
      </c>
      <c r="G41" s="7">
        <v>8260097738</v>
      </c>
      <c r="H41" s="328"/>
    </row>
    <row r="42" spans="1:14" x14ac:dyDescent="0.2">
      <c r="A42" s="332">
        <v>46114</v>
      </c>
      <c r="B42" s="12" t="s">
        <v>129</v>
      </c>
      <c r="C42" s="12" t="s">
        <v>130</v>
      </c>
      <c r="D42" s="12" t="s">
        <v>131</v>
      </c>
      <c r="E42" s="12" t="s">
        <v>132</v>
      </c>
      <c r="F42" s="12" t="s">
        <v>133</v>
      </c>
      <c r="G42" s="12" t="s">
        <v>134</v>
      </c>
      <c r="H42" s="337"/>
    </row>
    <row r="43" spans="1:14" ht="45" customHeight="1" x14ac:dyDescent="0.2">
      <c r="A43" s="334"/>
      <c r="B43" s="7">
        <v>8260097831</v>
      </c>
      <c r="C43" s="9" t="s">
        <v>135</v>
      </c>
      <c r="D43" s="7">
        <v>8260097810</v>
      </c>
      <c r="E43" s="7">
        <v>8260097803</v>
      </c>
      <c r="F43" s="9" t="s">
        <v>136</v>
      </c>
      <c r="G43" s="7">
        <v>8260097808</v>
      </c>
      <c r="H43" s="338"/>
    </row>
    <row r="44" spans="1:14" x14ac:dyDescent="0.2">
      <c r="A44" s="332">
        <v>46115</v>
      </c>
      <c r="B44" s="12" t="s">
        <v>137</v>
      </c>
      <c r="C44" s="12" t="s">
        <v>138</v>
      </c>
      <c r="D44" s="12" t="s">
        <v>139</v>
      </c>
      <c r="E44" s="12" t="s">
        <v>140</v>
      </c>
      <c r="F44" s="12" t="s">
        <v>141</v>
      </c>
      <c r="G44" s="12" t="s">
        <v>134</v>
      </c>
      <c r="H44" s="337"/>
    </row>
    <row r="45" spans="1:14" s="6" customFormat="1" ht="45" customHeight="1" x14ac:dyDescent="0.2">
      <c r="A45" s="334"/>
      <c r="B45" s="7">
        <v>8260097899</v>
      </c>
      <c r="C45" s="7">
        <v>8260097889</v>
      </c>
      <c r="D45" s="7">
        <v>8260097881</v>
      </c>
      <c r="E45" s="7">
        <v>8260097886</v>
      </c>
      <c r="F45" s="9" t="s">
        <v>142</v>
      </c>
      <c r="G45" s="7">
        <v>8260097893</v>
      </c>
      <c r="H45" s="338"/>
    </row>
    <row r="46" spans="1:14" x14ac:dyDescent="0.2">
      <c r="C46" s="2"/>
      <c r="D46" s="2"/>
      <c r="E46" s="2"/>
      <c r="F46" s="2"/>
      <c r="G46" s="2"/>
      <c r="H46" s="2"/>
      <c r="I46" s="2"/>
      <c r="J46" s="2"/>
      <c r="K46" s="2"/>
    </row>
    <row r="47" spans="1:14" x14ac:dyDescent="0.2">
      <c r="A47" s="279" t="s">
        <v>143</v>
      </c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38"/>
      <c r="M47" s="38"/>
      <c r="N47" s="38"/>
    </row>
    <row r="48" spans="1:14" ht="27.75" x14ac:dyDescent="0.2">
      <c r="A48" s="280" t="s">
        <v>34</v>
      </c>
      <c r="B48" s="5" t="s">
        <v>144</v>
      </c>
      <c r="C48" s="5" t="s">
        <v>145</v>
      </c>
      <c r="D48" s="5" t="s">
        <v>146</v>
      </c>
      <c r="E48" s="5" t="s">
        <v>147</v>
      </c>
      <c r="F48" s="5" t="s">
        <v>148</v>
      </c>
      <c r="G48" s="5" t="s">
        <v>149</v>
      </c>
      <c r="H48" s="5" t="s">
        <v>150</v>
      </c>
      <c r="I48" s="5" t="s">
        <v>151</v>
      </c>
      <c r="J48" s="5" t="s">
        <v>152</v>
      </c>
      <c r="K48" s="282" t="s">
        <v>8</v>
      </c>
    </row>
    <row r="49" spans="1:12" x14ac:dyDescent="0.2">
      <c r="A49" s="280"/>
      <c r="B49" s="15" t="s">
        <v>153</v>
      </c>
      <c r="C49" s="15" t="s">
        <v>153</v>
      </c>
      <c r="D49" s="15" t="s">
        <v>154</v>
      </c>
      <c r="E49" s="15" t="s">
        <v>155</v>
      </c>
      <c r="F49" s="15" t="s">
        <v>156</v>
      </c>
      <c r="G49" s="15" t="s">
        <v>156</v>
      </c>
      <c r="H49" s="15" t="s">
        <v>45</v>
      </c>
      <c r="I49" s="15" t="s">
        <v>157</v>
      </c>
      <c r="J49" s="15" t="s">
        <v>157</v>
      </c>
      <c r="K49" s="282"/>
    </row>
    <row r="50" spans="1:12" x14ac:dyDescent="0.2">
      <c r="A50" s="335">
        <v>46111</v>
      </c>
      <c r="B50" s="12" t="s">
        <v>158</v>
      </c>
      <c r="C50" s="12" t="s">
        <v>159</v>
      </c>
      <c r="D50" s="12" t="s">
        <v>160</v>
      </c>
      <c r="E50" s="12"/>
      <c r="F50" s="12" t="s">
        <v>161</v>
      </c>
      <c r="G50" s="12" t="s">
        <v>162</v>
      </c>
      <c r="H50" s="12" t="s">
        <v>163</v>
      </c>
      <c r="I50" s="12"/>
      <c r="J50" s="12"/>
      <c r="K50" s="337"/>
    </row>
    <row r="51" spans="1:12" ht="45" customHeight="1" x14ac:dyDescent="0.2">
      <c r="A51" s="335"/>
      <c r="B51" s="9">
        <v>8260097596</v>
      </c>
      <c r="C51" s="9" t="s">
        <v>164</v>
      </c>
      <c r="D51" s="9">
        <v>8260097598</v>
      </c>
      <c r="E51" s="9"/>
      <c r="F51" s="9">
        <v>8260097586</v>
      </c>
      <c r="G51" s="9">
        <v>8260097592</v>
      </c>
      <c r="H51" s="9">
        <v>8260097581</v>
      </c>
      <c r="I51" s="9"/>
      <c r="J51" s="9"/>
      <c r="K51" s="338"/>
    </row>
    <row r="52" spans="1:12" x14ac:dyDescent="0.2">
      <c r="A52" s="332">
        <v>46112</v>
      </c>
      <c r="B52" s="12" t="s">
        <v>165</v>
      </c>
      <c r="C52" s="12" t="s">
        <v>166</v>
      </c>
      <c r="D52" s="12" t="s">
        <v>167</v>
      </c>
      <c r="E52" s="12" t="s">
        <v>168</v>
      </c>
      <c r="F52" s="12" t="s">
        <v>169</v>
      </c>
      <c r="G52" s="12" t="s">
        <v>170</v>
      </c>
      <c r="H52" s="12" t="s">
        <v>171</v>
      </c>
      <c r="I52" s="12"/>
      <c r="J52" s="12"/>
      <c r="K52" s="337"/>
    </row>
    <row r="53" spans="1:12" ht="45" customHeight="1" x14ac:dyDescent="0.2">
      <c r="A53" s="334"/>
      <c r="B53" s="9">
        <v>8260097656</v>
      </c>
      <c r="C53" s="9" t="s">
        <v>172</v>
      </c>
      <c r="D53" s="9">
        <v>8260097658</v>
      </c>
      <c r="E53" s="9">
        <v>8260097659</v>
      </c>
      <c r="F53" s="9">
        <v>8260097661</v>
      </c>
      <c r="G53" s="7">
        <v>8260097670</v>
      </c>
      <c r="H53" s="9">
        <v>8260097655</v>
      </c>
      <c r="I53" s="8"/>
      <c r="J53" s="8"/>
      <c r="K53" s="338"/>
    </row>
    <row r="54" spans="1:12" x14ac:dyDescent="0.2">
      <c r="A54" s="332">
        <v>46113</v>
      </c>
      <c r="B54" s="16" t="s">
        <v>173</v>
      </c>
      <c r="C54" s="16" t="s">
        <v>174</v>
      </c>
      <c r="D54" s="16" t="s">
        <v>175</v>
      </c>
      <c r="E54" s="16"/>
      <c r="F54" s="16" t="s">
        <v>176</v>
      </c>
      <c r="G54" s="11" t="s">
        <v>177</v>
      </c>
      <c r="H54" s="17" t="s">
        <v>178</v>
      </c>
      <c r="I54" s="12"/>
      <c r="J54" s="12"/>
      <c r="K54" s="337"/>
    </row>
    <row r="55" spans="1:12" ht="45" customHeight="1" x14ac:dyDescent="0.2">
      <c r="A55" s="334"/>
      <c r="B55" s="9">
        <v>8260087746</v>
      </c>
      <c r="C55" s="9" t="s">
        <v>179</v>
      </c>
      <c r="D55" s="9">
        <v>8260097739</v>
      </c>
      <c r="E55" s="9"/>
      <c r="F55" s="9">
        <v>8260097750</v>
      </c>
      <c r="G55" s="7">
        <v>8260097743</v>
      </c>
      <c r="H55" s="9">
        <v>8260097725</v>
      </c>
      <c r="I55" s="9">
        <v>8260097748</v>
      </c>
      <c r="J55" s="9"/>
      <c r="K55" s="338"/>
    </row>
    <row r="56" spans="1:12" x14ac:dyDescent="0.2">
      <c r="A56" s="332">
        <v>46114</v>
      </c>
      <c r="B56" s="16" t="s">
        <v>180</v>
      </c>
      <c r="C56" s="16" t="s">
        <v>181</v>
      </c>
      <c r="D56" s="16" t="s">
        <v>182</v>
      </c>
      <c r="E56" s="16" t="s">
        <v>183</v>
      </c>
      <c r="F56" s="16" t="s">
        <v>184</v>
      </c>
      <c r="G56" s="11" t="s">
        <v>185</v>
      </c>
      <c r="H56" s="16" t="s">
        <v>186</v>
      </c>
      <c r="I56" s="16" t="s">
        <v>187</v>
      </c>
      <c r="J56" s="16"/>
      <c r="K56" s="337"/>
    </row>
    <row r="57" spans="1:12" ht="45" customHeight="1" x14ac:dyDescent="0.2">
      <c r="A57" s="334"/>
      <c r="B57" s="9">
        <v>8260097824</v>
      </c>
      <c r="C57" s="9" t="s">
        <v>188</v>
      </c>
      <c r="D57" s="9">
        <v>8260097813</v>
      </c>
      <c r="E57" s="9">
        <v>8260097825</v>
      </c>
      <c r="F57" s="9">
        <v>8260097819</v>
      </c>
      <c r="G57" s="7">
        <v>8260097830</v>
      </c>
      <c r="H57" s="9">
        <v>8260097820</v>
      </c>
      <c r="I57" s="9">
        <v>8260097812</v>
      </c>
      <c r="J57" s="9"/>
      <c r="K57" s="338"/>
    </row>
    <row r="58" spans="1:12" x14ac:dyDescent="0.2">
      <c r="A58" s="332">
        <v>46115</v>
      </c>
      <c r="B58" s="16" t="s">
        <v>189</v>
      </c>
      <c r="C58" s="16" t="s">
        <v>190</v>
      </c>
      <c r="D58" s="16" t="s">
        <v>191</v>
      </c>
      <c r="E58" s="16" t="s">
        <v>138</v>
      </c>
      <c r="F58" s="16" t="s">
        <v>192</v>
      </c>
      <c r="G58" s="11" t="s">
        <v>193</v>
      </c>
      <c r="H58" s="16" t="s">
        <v>194</v>
      </c>
      <c r="I58" s="12"/>
      <c r="J58" s="12"/>
      <c r="K58" s="337"/>
    </row>
    <row r="59" spans="1:12" ht="45" customHeight="1" x14ac:dyDescent="0.2">
      <c r="A59" s="334"/>
      <c r="B59" s="9">
        <v>8260097872</v>
      </c>
      <c r="C59" s="9" t="s">
        <v>195</v>
      </c>
      <c r="D59" s="9">
        <v>8260097869</v>
      </c>
      <c r="E59" s="9">
        <v>8260097887</v>
      </c>
      <c r="F59" s="9">
        <v>8260097885</v>
      </c>
      <c r="G59" s="7">
        <v>8260097890</v>
      </c>
      <c r="H59" s="9">
        <v>8260097901</v>
      </c>
      <c r="I59" s="8"/>
      <c r="J59" s="8"/>
      <c r="K59" s="338"/>
      <c r="L59">
        <v>35</v>
      </c>
    </row>
    <row r="61" spans="1:12" ht="27.75" x14ac:dyDescent="0.2">
      <c r="A61" s="280" t="s">
        <v>34</v>
      </c>
      <c r="B61" s="5" t="s">
        <v>196</v>
      </c>
      <c r="C61" s="5" t="s">
        <v>197</v>
      </c>
      <c r="D61" s="5" t="s">
        <v>198</v>
      </c>
      <c r="E61" s="5" t="s">
        <v>199</v>
      </c>
      <c r="F61" s="5" t="s">
        <v>200</v>
      </c>
      <c r="G61" s="5" t="s">
        <v>201</v>
      </c>
      <c r="H61" s="5" t="s">
        <v>202</v>
      </c>
      <c r="I61" s="5" t="s">
        <v>203</v>
      </c>
      <c r="J61" s="5" t="s">
        <v>204</v>
      </c>
      <c r="K61" s="282" t="s">
        <v>8</v>
      </c>
    </row>
    <row r="62" spans="1:12" x14ac:dyDescent="0.2">
      <c r="A62" s="280"/>
      <c r="B62" s="15" t="s">
        <v>153</v>
      </c>
      <c r="C62" s="15" t="s">
        <v>205</v>
      </c>
      <c r="D62" s="15" t="s">
        <v>206</v>
      </c>
      <c r="E62" s="15" t="s">
        <v>207</v>
      </c>
      <c r="F62" s="15" t="s">
        <v>208</v>
      </c>
      <c r="G62" s="15" t="s">
        <v>207</v>
      </c>
      <c r="H62" s="15" t="s">
        <v>103</v>
      </c>
      <c r="I62" s="15" t="s">
        <v>208</v>
      </c>
      <c r="J62" s="15" t="s">
        <v>209</v>
      </c>
      <c r="K62" s="282"/>
    </row>
    <row r="63" spans="1:12" x14ac:dyDescent="0.2">
      <c r="A63" s="335">
        <v>46111</v>
      </c>
      <c r="B63" s="12" t="s">
        <v>210</v>
      </c>
      <c r="C63" s="12"/>
      <c r="D63" s="12" t="s">
        <v>211</v>
      </c>
      <c r="E63" s="12" t="s">
        <v>212</v>
      </c>
      <c r="F63" s="12" t="s">
        <v>213</v>
      </c>
      <c r="G63" s="12" t="s">
        <v>214</v>
      </c>
      <c r="H63" s="12" t="s">
        <v>215</v>
      </c>
      <c r="I63" s="11" t="s">
        <v>216</v>
      </c>
      <c r="J63" s="12"/>
      <c r="K63" s="337"/>
    </row>
    <row r="64" spans="1:12" ht="45" customHeight="1" x14ac:dyDescent="0.2">
      <c r="A64" s="335"/>
      <c r="B64" s="9">
        <v>8260097593</v>
      </c>
      <c r="C64" s="9"/>
      <c r="D64" s="9">
        <v>8260097594</v>
      </c>
      <c r="E64" s="9">
        <v>8260097599</v>
      </c>
      <c r="F64" s="9">
        <v>8260097610</v>
      </c>
      <c r="G64" s="9">
        <v>8260097602</v>
      </c>
      <c r="H64" s="9">
        <v>8260097605</v>
      </c>
      <c r="I64" s="9" t="s">
        <v>217</v>
      </c>
      <c r="J64" s="9"/>
      <c r="K64" s="338"/>
    </row>
    <row r="65" spans="1:13" x14ac:dyDescent="0.2">
      <c r="A65" s="332">
        <v>46112</v>
      </c>
      <c r="B65" s="12" t="s">
        <v>165</v>
      </c>
      <c r="C65" s="12" t="s">
        <v>218</v>
      </c>
      <c r="D65" s="12" t="s">
        <v>219</v>
      </c>
      <c r="E65" s="12" t="s">
        <v>220</v>
      </c>
      <c r="F65" s="12" t="s">
        <v>221</v>
      </c>
      <c r="G65" s="12" t="s">
        <v>222</v>
      </c>
      <c r="H65" s="12" t="s">
        <v>223</v>
      </c>
      <c r="I65" s="12" t="s">
        <v>224</v>
      </c>
      <c r="J65" s="12"/>
      <c r="K65" s="337"/>
    </row>
    <row r="66" spans="1:13" ht="45" customHeight="1" x14ac:dyDescent="0.2">
      <c r="A66" s="334"/>
      <c r="B66" s="9">
        <v>8260097651</v>
      </c>
      <c r="C66" s="9">
        <v>8260097653</v>
      </c>
      <c r="D66" s="9">
        <v>8260097657</v>
      </c>
      <c r="E66" s="7">
        <v>8260097660</v>
      </c>
      <c r="F66" s="9">
        <v>8260097654</v>
      </c>
      <c r="G66" s="9">
        <v>8260097683</v>
      </c>
      <c r="H66" s="9">
        <v>8260097672</v>
      </c>
      <c r="I66" s="9" t="s">
        <v>225</v>
      </c>
      <c r="J66" s="7"/>
      <c r="K66" s="338"/>
    </row>
    <row r="67" spans="1:13" x14ac:dyDescent="0.2">
      <c r="A67" s="332">
        <v>46113</v>
      </c>
      <c r="B67" s="16" t="s">
        <v>226</v>
      </c>
      <c r="C67" s="16" t="s">
        <v>227</v>
      </c>
      <c r="D67" s="16" t="s">
        <v>228</v>
      </c>
      <c r="E67" s="11" t="s">
        <v>229</v>
      </c>
      <c r="F67" s="16" t="s">
        <v>230</v>
      </c>
      <c r="G67" s="16" t="s">
        <v>231</v>
      </c>
      <c r="H67" s="16" t="s">
        <v>232</v>
      </c>
      <c r="I67" s="16" t="s">
        <v>233</v>
      </c>
      <c r="J67" s="11"/>
      <c r="K67" s="337"/>
    </row>
    <row r="68" spans="1:13" ht="45" customHeight="1" x14ac:dyDescent="0.2">
      <c r="A68" s="334"/>
      <c r="B68" s="9">
        <v>8260097747</v>
      </c>
      <c r="C68" s="9">
        <v>8260097745</v>
      </c>
      <c r="D68" s="9">
        <v>8260097742</v>
      </c>
      <c r="E68" s="7">
        <v>8260097740</v>
      </c>
      <c r="F68" s="9">
        <v>8260097734</v>
      </c>
      <c r="G68" s="9">
        <v>8260097759</v>
      </c>
      <c r="H68" s="9">
        <v>8260097755</v>
      </c>
      <c r="I68" s="9" t="s">
        <v>234</v>
      </c>
      <c r="J68" s="7"/>
      <c r="K68" s="338"/>
    </row>
    <row r="69" spans="1:13" x14ac:dyDescent="0.2">
      <c r="A69" s="332">
        <v>46114</v>
      </c>
      <c r="B69" s="16" t="s">
        <v>235</v>
      </c>
      <c r="C69" s="16" t="s">
        <v>236</v>
      </c>
      <c r="D69" s="16" t="s">
        <v>237</v>
      </c>
      <c r="E69" s="11" t="s">
        <v>238</v>
      </c>
      <c r="F69" s="16" t="s">
        <v>239</v>
      </c>
      <c r="G69" s="16" t="s">
        <v>240</v>
      </c>
      <c r="H69" s="16" t="s">
        <v>241</v>
      </c>
      <c r="I69" s="16" t="s">
        <v>242</v>
      </c>
      <c r="J69" s="11"/>
      <c r="K69" s="337"/>
    </row>
    <row r="70" spans="1:13" ht="45" customHeight="1" x14ac:dyDescent="0.2">
      <c r="A70" s="334"/>
      <c r="B70" s="9">
        <v>8260097821</v>
      </c>
      <c r="C70" s="9">
        <v>8260097826</v>
      </c>
      <c r="D70" s="9">
        <v>8260097835</v>
      </c>
      <c r="E70" s="7">
        <v>8260097822</v>
      </c>
      <c r="F70" s="9">
        <v>8260097837</v>
      </c>
      <c r="G70" s="9">
        <v>8260097836</v>
      </c>
      <c r="H70" s="9">
        <v>8260097834</v>
      </c>
      <c r="I70" s="9" t="s">
        <v>243</v>
      </c>
      <c r="J70" s="7"/>
      <c r="K70" s="338"/>
    </row>
    <row r="71" spans="1:13" x14ac:dyDescent="0.2">
      <c r="A71" s="332">
        <v>46115</v>
      </c>
      <c r="B71" s="16" t="s">
        <v>244</v>
      </c>
      <c r="C71" s="16" t="s">
        <v>245</v>
      </c>
      <c r="D71" s="16" t="s">
        <v>246</v>
      </c>
      <c r="E71" s="11" t="s">
        <v>247</v>
      </c>
      <c r="F71" s="16" t="s">
        <v>248</v>
      </c>
      <c r="G71" s="16" t="s">
        <v>249</v>
      </c>
      <c r="H71" s="16" t="s">
        <v>141</v>
      </c>
      <c r="I71" s="16" t="s">
        <v>250</v>
      </c>
      <c r="J71" s="11"/>
      <c r="K71" s="337"/>
    </row>
    <row r="72" spans="1:13" ht="45" customHeight="1" x14ac:dyDescent="0.2">
      <c r="A72" s="334"/>
      <c r="B72" s="9">
        <v>8260097895</v>
      </c>
      <c r="C72" s="9">
        <v>8260097870</v>
      </c>
      <c r="D72" s="9">
        <v>8260097884</v>
      </c>
      <c r="E72" s="7">
        <v>8260097891</v>
      </c>
      <c r="F72" s="9">
        <v>8260097892</v>
      </c>
      <c r="G72" s="9">
        <v>8260097898</v>
      </c>
      <c r="H72" s="9">
        <v>8260097876</v>
      </c>
      <c r="I72" s="9" t="s">
        <v>251</v>
      </c>
      <c r="J72" s="7"/>
      <c r="K72" s="338"/>
      <c r="L72">
        <v>39</v>
      </c>
    </row>
    <row r="74" spans="1:13" x14ac:dyDescent="0.2">
      <c r="A74" s="279" t="s">
        <v>252</v>
      </c>
      <c r="B74" s="279"/>
      <c r="C74" s="279"/>
      <c r="D74" s="279"/>
      <c r="E74" s="279"/>
      <c r="F74" s="279"/>
      <c r="G74" s="279"/>
      <c r="H74" s="279"/>
      <c r="I74" s="279"/>
      <c r="J74" s="279"/>
      <c r="K74" s="38"/>
      <c r="L74" s="38"/>
      <c r="M74" s="38"/>
    </row>
    <row r="75" spans="1:13" ht="27.75" x14ac:dyDescent="0.2">
      <c r="A75" s="280" t="s">
        <v>34</v>
      </c>
      <c r="B75" s="5" t="s">
        <v>253</v>
      </c>
      <c r="C75" s="5" t="s">
        <v>254</v>
      </c>
      <c r="D75" s="5" t="s">
        <v>255</v>
      </c>
      <c r="E75" s="5" t="s">
        <v>256</v>
      </c>
      <c r="F75" s="5" t="s">
        <v>257</v>
      </c>
      <c r="G75" s="5" t="s">
        <v>258</v>
      </c>
      <c r="H75" s="5" t="s">
        <v>259</v>
      </c>
      <c r="I75" s="5" t="s">
        <v>260</v>
      </c>
      <c r="J75" s="282" t="s">
        <v>8</v>
      </c>
    </row>
    <row r="76" spans="1:13" x14ac:dyDescent="0.2">
      <c r="A76" s="280"/>
      <c r="B76" s="15" t="s">
        <v>154</v>
      </c>
      <c r="C76" s="15" t="s">
        <v>261</v>
      </c>
      <c r="D76" s="15" t="s">
        <v>262</v>
      </c>
      <c r="E76" s="15" t="s">
        <v>42</v>
      </c>
      <c r="F76" s="15" t="s">
        <v>263</v>
      </c>
      <c r="G76" s="15" t="s">
        <v>264</v>
      </c>
      <c r="H76" s="15" t="s">
        <v>265</v>
      </c>
      <c r="I76" s="15" t="s">
        <v>263</v>
      </c>
      <c r="J76" s="282"/>
    </row>
    <row r="77" spans="1:13" x14ac:dyDescent="0.2">
      <c r="A77" s="335">
        <v>46111</v>
      </c>
      <c r="B77" s="11" t="s">
        <v>266</v>
      </c>
      <c r="C77" s="12" t="s">
        <v>267</v>
      </c>
      <c r="D77" s="12" t="s">
        <v>268</v>
      </c>
      <c r="E77" s="12" t="s">
        <v>268</v>
      </c>
      <c r="F77" s="12" t="s">
        <v>269</v>
      </c>
      <c r="G77" s="12" t="s">
        <v>270</v>
      </c>
      <c r="H77" s="12" t="s">
        <v>271</v>
      </c>
      <c r="I77" s="12"/>
      <c r="J77" s="337"/>
    </row>
    <row r="78" spans="1:13" ht="45" customHeight="1" x14ac:dyDescent="0.2">
      <c r="A78" s="335"/>
      <c r="B78" s="9">
        <v>8260097578</v>
      </c>
      <c r="C78" s="9">
        <v>8260097579</v>
      </c>
      <c r="D78" s="9">
        <v>8260097600</v>
      </c>
      <c r="E78" s="9">
        <v>8260097585</v>
      </c>
      <c r="F78" s="9">
        <v>8260097597</v>
      </c>
      <c r="G78" s="9">
        <v>8260097582</v>
      </c>
      <c r="H78" s="9">
        <v>8260097601</v>
      </c>
      <c r="I78" s="9"/>
      <c r="J78" s="338"/>
    </row>
    <row r="79" spans="1:13" x14ac:dyDescent="0.2">
      <c r="A79" s="332">
        <v>46112</v>
      </c>
      <c r="B79" s="12" t="s">
        <v>272</v>
      </c>
      <c r="C79" s="12" t="s">
        <v>273</v>
      </c>
      <c r="D79" s="12" t="s">
        <v>274</v>
      </c>
      <c r="E79" s="12" t="s">
        <v>275</v>
      </c>
      <c r="F79" s="12" t="s">
        <v>276</v>
      </c>
      <c r="G79" s="12" t="s">
        <v>277</v>
      </c>
      <c r="H79" s="12" t="s">
        <v>278</v>
      </c>
      <c r="I79" s="12"/>
      <c r="J79" s="337"/>
    </row>
    <row r="80" spans="1:13" ht="45" customHeight="1" x14ac:dyDescent="0.2">
      <c r="A80" s="334"/>
      <c r="B80" s="9" t="s">
        <v>279</v>
      </c>
      <c r="C80" s="9">
        <v>8260097682</v>
      </c>
      <c r="D80" s="9">
        <v>8260097679</v>
      </c>
      <c r="E80" s="9">
        <v>8260097669</v>
      </c>
      <c r="F80" s="9">
        <v>8260097663</v>
      </c>
      <c r="G80" s="9">
        <v>8260097662</v>
      </c>
      <c r="H80" s="9">
        <v>8260097673</v>
      </c>
      <c r="I80" s="9"/>
      <c r="J80" s="338"/>
    </row>
    <row r="81" spans="1:10" x14ac:dyDescent="0.2">
      <c r="A81" s="332">
        <v>46113</v>
      </c>
      <c r="B81" s="16" t="s">
        <v>280</v>
      </c>
      <c r="C81" s="16" t="s">
        <v>281</v>
      </c>
      <c r="D81" s="16" t="s">
        <v>282</v>
      </c>
      <c r="E81" s="16" t="s">
        <v>283</v>
      </c>
      <c r="F81" s="16" t="s">
        <v>284</v>
      </c>
      <c r="G81" s="16" t="s">
        <v>229</v>
      </c>
      <c r="H81" s="16" t="s">
        <v>285</v>
      </c>
      <c r="I81" s="16"/>
      <c r="J81" s="337"/>
    </row>
    <row r="82" spans="1:10" ht="45" customHeight="1" x14ac:dyDescent="0.2">
      <c r="A82" s="334"/>
      <c r="B82" s="9" t="s">
        <v>286</v>
      </c>
      <c r="C82" s="9">
        <v>8260097757</v>
      </c>
      <c r="D82" s="9">
        <v>8260097741</v>
      </c>
      <c r="E82" s="9">
        <v>8260097730</v>
      </c>
      <c r="F82" s="9">
        <v>8260097736</v>
      </c>
      <c r="G82" s="9">
        <v>8260097753</v>
      </c>
      <c r="H82" s="9">
        <v>8260097751</v>
      </c>
      <c r="I82" s="9"/>
      <c r="J82" s="338"/>
    </row>
    <row r="83" spans="1:10" x14ac:dyDescent="0.2">
      <c r="A83" s="332">
        <v>46114</v>
      </c>
      <c r="B83" s="16" t="s">
        <v>287</v>
      </c>
      <c r="C83" s="16" t="s">
        <v>288</v>
      </c>
      <c r="D83" s="16" t="s">
        <v>289</v>
      </c>
      <c r="E83" s="16" t="s">
        <v>289</v>
      </c>
      <c r="F83" s="16" t="s">
        <v>290</v>
      </c>
      <c r="G83" s="16" t="s">
        <v>291</v>
      </c>
      <c r="H83" s="16" t="s">
        <v>292</v>
      </c>
      <c r="I83" s="16"/>
      <c r="J83" s="337"/>
    </row>
    <row r="84" spans="1:10" ht="45" customHeight="1" x14ac:dyDescent="0.2">
      <c r="A84" s="334"/>
      <c r="B84" s="9" t="s">
        <v>293</v>
      </c>
      <c r="C84" s="9">
        <v>8260097828</v>
      </c>
      <c r="D84" s="9">
        <v>8260097833</v>
      </c>
      <c r="E84" s="9">
        <v>8260097809</v>
      </c>
      <c r="F84" s="9">
        <v>8260097805</v>
      </c>
      <c r="G84" s="9">
        <v>8260097823</v>
      </c>
      <c r="H84" s="9">
        <v>8260097804</v>
      </c>
      <c r="I84" s="9"/>
      <c r="J84" s="338"/>
    </row>
    <row r="85" spans="1:10" x14ac:dyDescent="0.2">
      <c r="A85" s="332">
        <v>46115</v>
      </c>
      <c r="B85" s="16" t="s">
        <v>294</v>
      </c>
      <c r="C85" s="16" t="s">
        <v>295</v>
      </c>
      <c r="D85" s="16" t="s">
        <v>296</v>
      </c>
      <c r="E85" s="18"/>
      <c r="F85" s="16" t="s">
        <v>297</v>
      </c>
      <c r="G85" s="16" t="s">
        <v>298</v>
      </c>
      <c r="H85" s="16" t="s">
        <v>299</v>
      </c>
      <c r="I85" s="16"/>
      <c r="J85" s="337"/>
    </row>
    <row r="86" spans="1:10" ht="45" customHeight="1" x14ac:dyDescent="0.2">
      <c r="A86" s="334"/>
      <c r="B86" s="9" t="s">
        <v>300</v>
      </c>
      <c r="C86" s="9">
        <v>8260097878</v>
      </c>
      <c r="D86" s="9">
        <v>8260097897</v>
      </c>
      <c r="E86" s="9">
        <v>8260097882</v>
      </c>
      <c r="F86" s="9">
        <v>8260097896</v>
      </c>
      <c r="G86" s="9">
        <v>8260097873</v>
      </c>
      <c r="H86" s="9">
        <v>8260097871</v>
      </c>
      <c r="I86" s="9"/>
      <c r="J86" s="338"/>
    </row>
  </sheetData>
  <mergeCells count="75">
    <mergeCell ref="A3:K3"/>
    <mergeCell ref="A36:A37"/>
    <mergeCell ref="A34:A35"/>
    <mergeCell ref="A38:A39"/>
    <mergeCell ref="A40:A41"/>
    <mergeCell ref="H34:H35"/>
    <mergeCell ref="H36:H37"/>
    <mergeCell ref="H38:H39"/>
    <mergeCell ref="H40:H41"/>
    <mergeCell ref="K4:K6"/>
    <mergeCell ref="A33:H33"/>
    <mergeCell ref="A13:A14"/>
    <mergeCell ref="A15:A16"/>
    <mergeCell ref="A4:A6"/>
    <mergeCell ref="H4:J4"/>
    <mergeCell ref="B4:G4"/>
    <mergeCell ref="A69:A70"/>
    <mergeCell ref="A71:A72"/>
    <mergeCell ref="A75:A76"/>
    <mergeCell ref="A77:A78"/>
    <mergeCell ref="A79:A80"/>
    <mergeCell ref="A65:A66"/>
    <mergeCell ref="A67:A68"/>
    <mergeCell ref="A48:A49"/>
    <mergeCell ref="A44:A45"/>
    <mergeCell ref="A42:A43"/>
    <mergeCell ref="A50:A51"/>
    <mergeCell ref="A52:A53"/>
    <mergeCell ref="A54:A55"/>
    <mergeCell ref="A56:A57"/>
    <mergeCell ref="A58:A59"/>
    <mergeCell ref="A47:K47"/>
    <mergeCell ref="H44:H45"/>
    <mergeCell ref="A61:A62"/>
    <mergeCell ref="A63:A64"/>
    <mergeCell ref="K69:K70"/>
    <mergeCell ref="K48:K49"/>
    <mergeCell ref="K50:K51"/>
    <mergeCell ref="K52:K53"/>
    <mergeCell ref="K54:K55"/>
    <mergeCell ref="K56:K57"/>
    <mergeCell ref="K58:K59"/>
    <mergeCell ref="K65:K66"/>
    <mergeCell ref="K67:K68"/>
    <mergeCell ref="K61:K62"/>
    <mergeCell ref="K63:K64"/>
    <mergeCell ref="J83:J84"/>
    <mergeCell ref="J85:J86"/>
    <mergeCell ref="K71:K72"/>
    <mergeCell ref="J75:J76"/>
    <mergeCell ref="J77:J78"/>
    <mergeCell ref="J79:J80"/>
    <mergeCell ref="J81:J82"/>
    <mergeCell ref="A74:J74"/>
    <mergeCell ref="A81:A82"/>
    <mergeCell ref="A83:A84"/>
    <mergeCell ref="A85:A86"/>
    <mergeCell ref="K7:K8"/>
    <mergeCell ref="K9:K10"/>
    <mergeCell ref="K11:K12"/>
    <mergeCell ref="K13:K14"/>
    <mergeCell ref="K15:K16"/>
    <mergeCell ref="A23:A24"/>
    <mergeCell ref="A25:A26"/>
    <mergeCell ref="A27:A28"/>
    <mergeCell ref="A29:A30"/>
    <mergeCell ref="H42:H43"/>
    <mergeCell ref="D19:D20"/>
    <mergeCell ref="A19:A20"/>
    <mergeCell ref="A21:A22"/>
    <mergeCell ref="A7:A8"/>
    <mergeCell ref="A9:A10"/>
    <mergeCell ref="A11:A12"/>
    <mergeCell ref="B19:B20"/>
    <mergeCell ref="C19:C20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5725-25BC-47A2-8413-1992ADF82D1A}">
  <dimension ref="A1:H47"/>
  <sheetViews>
    <sheetView topLeftCell="A21" workbookViewId="0">
      <selection activeCell="F43" sqref="F43"/>
    </sheetView>
  </sheetViews>
  <sheetFormatPr defaultRowHeight="15" x14ac:dyDescent="0.2"/>
  <cols>
    <col min="1" max="5" width="15.6015625" customWidth="1"/>
    <col min="6" max="6" width="21.38671875" style="3" customWidth="1"/>
    <col min="7" max="7" width="15.6015625" customWidth="1"/>
    <col min="8" max="8" width="22.05859375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32">
        <v>46118</v>
      </c>
      <c r="B4" s="8" t="s">
        <v>9</v>
      </c>
      <c r="C4" s="8" t="s">
        <v>301</v>
      </c>
      <c r="D4" s="8" t="s">
        <v>302</v>
      </c>
      <c r="E4" s="8" t="s">
        <v>11</v>
      </c>
      <c r="F4" s="49">
        <v>0.39861111111111114</v>
      </c>
      <c r="G4" s="48" t="s">
        <v>18</v>
      </c>
      <c r="H4" s="8"/>
    </row>
    <row r="5" spans="1:8" x14ac:dyDescent="0.2">
      <c r="A5" s="333"/>
      <c r="B5" s="8" t="s">
        <v>14</v>
      </c>
      <c r="C5" s="8" t="s">
        <v>303</v>
      </c>
      <c r="D5" s="8" t="s">
        <v>304</v>
      </c>
      <c r="E5" s="8" t="s">
        <v>16</v>
      </c>
      <c r="F5" s="49">
        <v>0.54722222222222228</v>
      </c>
      <c r="G5" s="47" t="s">
        <v>13</v>
      </c>
      <c r="H5" s="10"/>
    </row>
    <row r="6" spans="1:8" x14ac:dyDescent="0.2">
      <c r="A6" s="333"/>
      <c r="B6" s="8" t="s">
        <v>20</v>
      </c>
      <c r="C6" s="10"/>
      <c r="D6" s="10"/>
      <c r="E6" s="8" t="s">
        <v>21</v>
      </c>
      <c r="F6" s="7"/>
      <c r="G6" s="10"/>
      <c r="H6" s="10"/>
    </row>
    <row r="7" spans="1:8" x14ac:dyDescent="0.2">
      <c r="A7" s="333"/>
      <c r="B7" s="8" t="s">
        <v>22</v>
      </c>
      <c r="C7" s="8" t="s">
        <v>305</v>
      </c>
      <c r="D7" s="8" t="s">
        <v>306</v>
      </c>
      <c r="E7" s="8" t="s">
        <v>24</v>
      </c>
      <c r="F7" s="49">
        <v>0.65902777777777777</v>
      </c>
      <c r="G7" s="48" t="s">
        <v>18</v>
      </c>
      <c r="H7" s="10"/>
    </row>
    <row r="8" spans="1:8" x14ac:dyDescent="0.2">
      <c r="A8" s="333"/>
      <c r="B8" s="8" t="s">
        <v>26</v>
      </c>
      <c r="C8" s="8" t="s">
        <v>307</v>
      </c>
      <c r="D8" s="8" t="s">
        <v>308</v>
      </c>
      <c r="E8" s="8" t="s">
        <v>28</v>
      </c>
      <c r="F8" s="49">
        <v>0.66388888888888886</v>
      </c>
      <c r="G8" s="48" t="s">
        <v>18</v>
      </c>
      <c r="H8" s="10"/>
    </row>
    <row r="9" spans="1:8" x14ac:dyDescent="0.2">
      <c r="A9" s="333"/>
      <c r="B9" s="8" t="s">
        <v>26</v>
      </c>
      <c r="C9" s="8" t="s">
        <v>309</v>
      </c>
      <c r="D9" s="8" t="s">
        <v>310</v>
      </c>
      <c r="E9" s="8" t="s">
        <v>28</v>
      </c>
      <c r="F9" s="49">
        <v>0.66388888888888886</v>
      </c>
      <c r="G9" s="48" t="s">
        <v>18</v>
      </c>
      <c r="H9" s="10"/>
    </row>
    <row r="10" spans="1:8" x14ac:dyDescent="0.2">
      <c r="A10" s="333"/>
      <c r="B10" s="8" t="s">
        <v>26</v>
      </c>
      <c r="C10" s="8" t="s">
        <v>311</v>
      </c>
      <c r="D10" s="8" t="s">
        <v>312</v>
      </c>
      <c r="E10" s="8" t="s">
        <v>28</v>
      </c>
      <c r="F10" s="49">
        <v>0.6791666666666667</v>
      </c>
      <c r="G10" s="47" t="s">
        <v>13</v>
      </c>
      <c r="H10" s="10"/>
    </row>
    <row r="11" spans="1:8" x14ac:dyDescent="0.2">
      <c r="A11" s="334"/>
      <c r="B11" s="8" t="s">
        <v>26</v>
      </c>
      <c r="C11" s="8" t="s">
        <v>313</v>
      </c>
      <c r="D11" s="8" t="s">
        <v>314</v>
      </c>
      <c r="E11" s="8" t="s">
        <v>28</v>
      </c>
      <c r="F11" s="49">
        <v>0.63472222222222219</v>
      </c>
      <c r="G11" s="48" t="s">
        <v>18</v>
      </c>
      <c r="H11" s="10"/>
    </row>
    <row r="13" spans="1:8" x14ac:dyDescent="0.2">
      <c r="A13" s="332">
        <v>46119</v>
      </c>
      <c r="B13" s="8" t="s">
        <v>9</v>
      </c>
      <c r="C13" s="8" t="s">
        <v>303</v>
      </c>
      <c r="D13" s="8" t="s">
        <v>304</v>
      </c>
      <c r="E13" s="8" t="s">
        <v>11</v>
      </c>
      <c r="F13" s="49">
        <v>0.44097222222222221</v>
      </c>
      <c r="G13" s="47" t="s">
        <v>13</v>
      </c>
      <c r="H13" s="8"/>
    </row>
    <row r="14" spans="1:8" x14ac:dyDescent="0.2">
      <c r="A14" s="333"/>
      <c r="B14" s="8" t="s">
        <v>315</v>
      </c>
      <c r="C14" s="8" t="s">
        <v>316</v>
      </c>
      <c r="D14" s="8" t="s">
        <v>317</v>
      </c>
      <c r="E14" s="8" t="s">
        <v>11</v>
      </c>
      <c r="F14" s="49">
        <v>0.43402777777777779</v>
      </c>
      <c r="G14" s="47" t="s">
        <v>13</v>
      </c>
      <c r="H14" s="8"/>
    </row>
    <row r="15" spans="1:8" x14ac:dyDescent="0.2">
      <c r="A15" s="333"/>
      <c r="B15" s="8" t="s">
        <v>14</v>
      </c>
      <c r="C15" s="8" t="s">
        <v>318</v>
      </c>
      <c r="D15" s="8" t="s">
        <v>319</v>
      </c>
      <c r="E15" s="8" t="s">
        <v>16</v>
      </c>
      <c r="F15" s="49">
        <v>0.55138888888888893</v>
      </c>
      <c r="G15" s="47" t="s">
        <v>13</v>
      </c>
      <c r="H15" s="10"/>
    </row>
    <row r="16" spans="1:8" x14ac:dyDescent="0.2">
      <c r="A16" s="333"/>
      <c r="B16" s="8" t="s">
        <v>20</v>
      </c>
      <c r="C16" s="10"/>
      <c r="D16" s="10"/>
      <c r="E16" s="8" t="s">
        <v>21</v>
      </c>
      <c r="F16" s="7"/>
      <c r="G16" s="10"/>
      <c r="H16" s="10"/>
    </row>
    <row r="17" spans="1:8" x14ac:dyDescent="0.2">
      <c r="A17" s="333"/>
      <c r="B17" s="8" t="s">
        <v>22</v>
      </c>
      <c r="C17" s="8" t="s">
        <v>305</v>
      </c>
      <c r="D17" s="8" t="s">
        <v>306</v>
      </c>
      <c r="E17" s="8" t="s">
        <v>24</v>
      </c>
      <c r="F17" s="49">
        <v>0.37361111111111112</v>
      </c>
      <c r="G17" s="48" t="s">
        <v>18</v>
      </c>
      <c r="H17" s="10"/>
    </row>
    <row r="18" spans="1:8" x14ac:dyDescent="0.2">
      <c r="A18" s="333"/>
      <c r="B18" s="8" t="s">
        <v>26</v>
      </c>
      <c r="C18" s="8" t="s">
        <v>320</v>
      </c>
      <c r="D18" s="8" t="s">
        <v>321</v>
      </c>
      <c r="E18" s="8" t="s">
        <v>28</v>
      </c>
      <c r="F18" s="49">
        <v>0.67152777777777772</v>
      </c>
      <c r="G18" s="47" t="s">
        <v>13</v>
      </c>
      <c r="H18" s="10"/>
    </row>
    <row r="19" spans="1:8" x14ac:dyDescent="0.2">
      <c r="A19" s="333"/>
      <c r="B19" s="8" t="s">
        <v>26</v>
      </c>
      <c r="C19" s="8" t="s">
        <v>301</v>
      </c>
      <c r="D19" s="8" t="s">
        <v>322</v>
      </c>
      <c r="E19" s="8" t="s">
        <v>28</v>
      </c>
      <c r="F19" s="49">
        <v>0.70486111111111116</v>
      </c>
      <c r="G19" s="47" t="s">
        <v>13</v>
      </c>
      <c r="H19" s="10"/>
    </row>
    <row r="20" spans="1:8" x14ac:dyDescent="0.2">
      <c r="A20" s="334"/>
      <c r="B20" s="8" t="s">
        <v>26</v>
      </c>
      <c r="C20" s="8" t="s">
        <v>323</v>
      </c>
      <c r="D20" s="8" t="s">
        <v>324</v>
      </c>
      <c r="E20" s="8" t="s">
        <v>28</v>
      </c>
      <c r="F20" s="49">
        <v>0.6958333333333333</v>
      </c>
      <c r="G20" s="47" t="s">
        <v>13</v>
      </c>
      <c r="H20" s="10"/>
    </row>
    <row r="22" spans="1:8" x14ac:dyDescent="0.2">
      <c r="A22" s="332">
        <v>46120</v>
      </c>
      <c r="B22" s="8" t="s">
        <v>9</v>
      </c>
      <c r="C22" s="8" t="s">
        <v>305</v>
      </c>
      <c r="D22" s="8" t="s">
        <v>306</v>
      </c>
      <c r="E22" s="8" t="s">
        <v>11</v>
      </c>
      <c r="F22" s="49">
        <v>0.36180555555555555</v>
      </c>
      <c r="G22" s="48" t="s">
        <v>18</v>
      </c>
      <c r="H22" s="8"/>
    </row>
    <row r="23" spans="1:8" x14ac:dyDescent="0.2">
      <c r="A23" s="333"/>
      <c r="B23" s="8" t="s">
        <v>14</v>
      </c>
      <c r="C23" s="8" t="s">
        <v>303</v>
      </c>
      <c r="D23" s="8" t="s">
        <v>325</v>
      </c>
      <c r="E23" s="8" t="s">
        <v>16</v>
      </c>
      <c r="F23" s="49">
        <v>0.62708333333333333</v>
      </c>
      <c r="G23" s="47" t="s">
        <v>13</v>
      </c>
      <c r="H23" s="10"/>
    </row>
    <row r="24" spans="1:8" x14ac:dyDescent="0.2">
      <c r="A24" s="333"/>
      <c r="B24" s="8" t="s">
        <v>20</v>
      </c>
      <c r="C24" s="10"/>
      <c r="D24" s="10"/>
      <c r="E24" s="8" t="s">
        <v>21</v>
      </c>
      <c r="F24" s="7"/>
      <c r="G24" s="10"/>
      <c r="H24" s="10"/>
    </row>
    <row r="25" spans="1:8" x14ac:dyDescent="0.2">
      <c r="A25" s="333"/>
      <c r="B25" s="8" t="s">
        <v>22</v>
      </c>
      <c r="C25" s="8" t="s">
        <v>326</v>
      </c>
      <c r="D25" s="8" t="s">
        <v>326</v>
      </c>
      <c r="E25" s="8" t="s">
        <v>24</v>
      </c>
      <c r="F25" s="49">
        <v>0.76111111111111107</v>
      </c>
      <c r="G25" s="47" t="s">
        <v>13</v>
      </c>
      <c r="H25" s="10"/>
    </row>
    <row r="26" spans="1:8" x14ac:dyDescent="0.2">
      <c r="A26" s="333"/>
      <c r="B26" s="8" t="s">
        <v>26</v>
      </c>
      <c r="C26" s="8" t="s">
        <v>318</v>
      </c>
      <c r="D26" s="8" t="s">
        <v>310</v>
      </c>
      <c r="E26" s="8" t="s">
        <v>28</v>
      </c>
      <c r="F26" s="49">
        <v>0.69930555555555551</v>
      </c>
      <c r="G26" s="47" t="s">
        <v>13</v>
      </c>
      <c r="H26" s="10"/>
    </row>
    <row r="27" spans="1:8" x14ac:dyDescent="0.2">
      <c r="A27" s="333"/>
      <c r="B27" s="8" t="s">
        <v>26</v>
      </c>
      <c r="C27" s="8" t="s">
        <v>327</v>
      </c>
      <c r="D27" s="8" t="s">
        <v>328</v>
      </c>
      <c r="E27" s="8" t="s">
        <v>28</v>
      </c>
      <c r="F27" s="49">
        <v>0.69513888888888886</v>
      </c>
      <c r="G27" s="47" t="s">
        <v>13</v>
      </c>
      <c r="H27" s="10"/>
    </row>
    <row r="28" spans="1:8" x14ac:dyDescent="0.2">
      <c r="A28" s="333"/>
      <c r="B28" s="8" t="s">
        <v>26</v>
      </c>
      <c r="C28" s="8" t="s">
        <v>328</v>
      </c>
      <c r="D28" s="8" t="s">
        <v>329</v>
      </c>
      <c r="E28" s="8" t="s">
        <v>28</v>
      </c>
      <c r="F28" s="49">
        <v>0.72499999999999998</v>
      </c>
      <c r="G28" s="47" t="s">
        <v>13</v>
      </c>
      <c r="H28" s="10"/>
    </row>
    <row r="30" spans="1:8" x14ac:dyDescent="0.2">
      <c r="A30" s="332">
        <v>46121</v>
      </c>
      <c r="B30" s="8" t="s">
        <v>9</v>
      </c>
      <c r="C30" s="8" t="s">
        <v>326</v>
      </c>
      <c r="D30" s="8" t="s">
        <v>330</v>
      </c>
      <c r="E30" s="8" t="s">
        <v>11</v>
      </c>
      <c r="F30" s="49">
        <v>0.39097222222222222</v>
      </c>
      <c r="G30" s="48" t="s">
        <v>18</v>
      </c>
      <c r="H30" s="8"/>
    </row>
    <row r="31" spans="1:8" x14ac:dyDescent="0.2">
      <c r="A31" s="333"/>
      <c r="B31" s="8" t="s">
        <v>9</v>
      </c>
      <c r="C31" s="8" t="s">
        <v>303</v>
      </c>
      <c r="D31" s="8" t="s">
        <v>331</v>
      </c>
      <c r="E31" s="8" t="s">
        <v>11</v>
      </c>
      <c r="F31" s="49">
        <v>0.44374999999999998</v>
      </c>
      <c r="G31" s="47" t="s">
        <v>13</v>
      </c>
      <c r="H31" s="8"/>
    </row>
    <row r="32" spans="1:8" x14ac:dyDescent="0.2">
      <c r="A32" s="333"/>
      <c r="B32" s="8" t="s">
        <v>14</v>
      </c>
      <c r="C32" s="8" t="s">
        <v>301</v>
      </c>
      <c r="D32" s="8" t="s">
        <v>322</v>
      </c>
      <c r="E32" s="8" t="s">
        <v>16</v>
      </c>
      <c r="F32" s="49">
        <v>0.625</v>
      </c>
      <c r="G32" s="47" t="s">
        <v>13</v>
      </c>
      <c r="H32" s="8"/>
    </row>
    <row r="33" spans="1:8" x14ac:dyDescent="0.2">
      <c r="A33" s="333"/>
      <c r="B33" s="8" t="s">
        <v>20</v>
      </c>
      <c r="C33" s="8" t="s">
        <v>332</v>
      </c>
      <c r="D33" s="8" t="s">
        <v>333</v>
      </c>
      <c r="E33" s="8" t="s">
        <v>21</v>
      </c>
      <c r="F33" s="49">
        <v>0.68402777777777779</v>
      </c>
      <c r="G33" s="47" t="s">
        <v>13</v>
      </c>
      <c r="H33" s="8"/>
    </row>
    <row r="34" spans="1:8" x14ac:dyDescent="0.2">
      <c r="A34" s="333"/>
      <c r="B34" s="8" t="s">
        <v>22</v>
      </c>
      <c r="C34" s="8" t="s">
        <v>305</v>
      </c>
      <c r="D34" s="8" t="s">
        <v>306</v>
      </c>
      <c r="E34" s="8" t="s">
        <v>24</v>
      </c>
      <c r="F34" s="49">
        <v>0.47986111111111113</v>
      </c>
      <c r="G34" s="48" t="s">
        <v>18</v>
      </c>
      <c r="H34" s="8"/>
    </row>
    <row r="35" spans="1:8" x14ac:dyDescent="0.2">
      <c r="A35" s="333"/>
      <c r="B35" s="8" t="s">
        <v>26</v>
      </c>
      <c r="C35" s="8" t="s">
        <v>334</v>
      </c>
      <c r="D35" s="8"/>
      <c r="E35" s="8" t="s">
        <v>28</v>
      </c>
      <c r="F35" s="7"/>
      <c r="G35" s="8"/>
      <c r="H35" s="8"/>
    </row>
    <row r="36" spans="1:8" x14ac:dyDescent="0.2">
      <c r="A36" s="333"/>
      <c r="B36" s="8" t="s">
        <v>26</v>
      </c>
      <c r="C36" s="8"/>
      <c r="D36" s="8"/>
      <c r="E36" s="8" t="s">
        <v>28</v>
      </c>
      <c r="F36" s="7"/>
      <c r="G36" s="8"/>
      <c r="H36" s="8"/>
    </row>
    <row r="37" spans="1:8" x14ac:dyDescent="0.2">
      <c r="A37" s="333"/>
      <c r="B37" s="8" t="s">
        <v>26</v>
      </c>
      <c r="C37" s="8"/>
      <c r="D37" s="8"/>
      <c r="E37" s="8" t="s">
        <v>28</v>
      </c>
      <c r="F37" s="7"/>
      <c r="G37" s="8"/>
      <c r="H37" s="8"/>
    </row>
    <row r="38" spans="1:8" x14ac:dyDescent="0.2">
      <c r="A38" s="334"/>
      <c r="B38" s="8" t="s">
        <v>26</v>
      </c>
      <c r="C38" s="8"/>
      <c r="D38" s="8"/>
      <c r="E38" s="8" t="s">
        <v>28</v>
      </c>
      <c r="F38" s="7"/>
      <c r="G38" s="8"/>
      <c r="H38" s="8"/>
    </row>
    <row r="40" spans="1:8" x14ac:dyDescent="0.2">
      <c r="A40" s="332">
        <v>46122</v>
      </c>
      <c r="B40" s="8" t="s">
        <v>9</v>
      </c>
      <c r="C40" s="8" t="s">
        <v>326</v>
      </c>
      <c r="D40" s="8" t="s">
        <v>335</v>
      </c>
      <c r="E40" s="8" t="s">
        <v>11</v>
      </c>
      <c r="F40" s="49">
        <v>0.43055555555555558</v>
      </c>
      <c r="G40" s="47" t="s">
        <v>13</v>
      </c>
      <c r="H40" s="8"/>
    </row>
    <row r="41" spans="1:8" x14ac:dyDescent="0.2">
      <c r="A41" s="333"/>
      <c r="B41" s="8" t="s">
        <v>14</v>
      </c>
      <c r="C41" s="8" t="s">
        <v>336</v>
      </c>
      <c r="D41" s="8" t="s">
        <v>337</v>
      </c>
      <c r="E41" s="8" t="s">
        <v>16</v>
      </c>
      <c r="F41" s="49">
        <v>0.56458333333333333</v>
      </c>
      <c r="G41" s="47" t="s">
        <v>13</v>
      </c>
      <c r="H41" s="10"/>
    </row>
    <row r="42" spans="1:8" x14ac:dyDescent="0.2">
      <c r="A42" s="333"/>
      <c r="B42" s="8" t="s">
        <v>20</v>
      </c>
      <c r="C42" s="8" t="s">
        <v>305</v>
      </c>
      <c r="D42" s="8" t="s">
        <v>338</v>
      </c>
      <c r="E42" s="8" t="s">
        <v>21</v>
      </c>
      <c r="F42" s="49">
        <v>0.58819444444444446</v>
      </c>
      <c r="G42" s="48" t="s">
        <v>18</v>
      </c>
      <c r="H42" s="10"/>
    </row>
    <row r="43" spans="1:8" x14ac:dyDescent="0.2">
      <c r="A43" s="333"/>
      <c r="B43" s="8" t="s">
        <v>22</v>
      </c>
      <c r="C43" s="8" t="s">
        <v>305</v>
      </c>
      <c r="D43" s="8" t="s">
        <v>338</v>
      </c>
      <c r="E43" s="8" t="s">
        <v>24</v>
      </c>
      <c r="F43" s="49">
        <v>0.58819444444444446</v>
      </c>
      <c r="G43" s="48" t="s">
        <v>18</v>
      </c>
      <c r="H43" s="10"/>
    </row>
    <row r="44" spans="1:8" x14ac:dyDescent="0.2">
      <c r="A44" s="333"/>
      <c r="B44" s="8" t="s">
        <v>26</v>
      </c>
      <c r="C44" s="8" t="s">
        <v>307</v>
      </c>
      <c r="D44" s="8" t="s">
        <v>307</v>
      </c>
      <c r="E44" s="8" t="s">
        <v>28</v>
      </c>
      <c r="F44" s="7"/>
      <c r="G44" s="10"/>
      <c r="H44" s="10"/>
    </row>
    <row r="45" spans="1:8" x14ac:dyDescent="0.2">
      <c r="A45" s="333"/>
      <c r="B45" s="8" t="s">
        <v>26</v>
      </c>
      <c r="C45" s="8" t="s">
        <v>311</v>
      </c>
      <c r="D45" s="8" t="s">
        <v>339</v>
      </c>
      <c r="E45" s="8" t="s">
        <v>28</v>
      </c>
      <c r="F45" s="7"/>
      <c r="G45" s="10"/>
      <c r="H45" s="10"/>
    </row>
    <row r="46" spans="1:8" x14ac:dyDescent="0.2">
      <c r="A46" s="333"/>
      <c r="B46" s="8" t="s">
        <v>26</v>
      </c>
      <c r="C46" s="8"/>
      <c r="D46" s="8"/>
      <c r="E46" s="8" t="s">
        <v>28</v>
      </c>
      <c r="F46" s="7"/>
      <c r="G46" s="10"/>
      <c r="H46" s="10"/>
    </row>
    <row r="47" spans="1:8" x14ac:dyDescent="0.2">
      <c r="A47" s="334"/>
      <c r="B47" s="8" t="s">
        <v>26</v>
      </c>
      <c r="C47" s="8"/>
      <c r="D47" s="8"/>
      <c r="E47" s="8" t="s">
        <v>28</v>
      </c>
      <c r="F47" s="7"/>
      <c r="G47" s="10"/>
      <c r="H47" s="10"/>
    </row>
  </sheetData>
  <mergeCells count="5">
    <mergeCell ref="A4:A11"/>
    <mergeCell ref="A13:A20"/>
    <mergeCell ref="A22:A28"/>
    <mergeCell ref="A30:A38"/>
    <mergeCell ref="A40:A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22C3-EC91-48D8-A173-54B57DEE34EC}">
  <dimension ref="A1:N87"/>
  <sheetViews>
    <sheetView topLeftCell="E57" workbookViewId="0">
      <selection activeCell="K64" sqref="K64:K65"/>
    </sheetView>
  </sheetViews>
  <sheetFormatPr defaultRowHeight="15" x14ac:dyDescent="0.2"/>
  <cols>
    <col min="1" max="1" width="10.4921875" customWidth="1"/>
    <col min="2" max="2" width="20.58203125" style="2" customWidth="1"/>
    <col min="3" max="10" width="20.58203125" customWidth="1"/>
    <col min="11" max="11" width="58.91796875" customWidth="1"/>
    <col min="12" max="21" width="20.58203125" customWidth="1"/>
  </cols>
  <sheetData>
    <row r="1" spans="1:11" ht="18.75" x14ac:dyDescent="0.25">
      <c r="A1" s="1" t="s">
        <v>32</v>
      </c>
    </row>
    <row r="2" spans="1:11" ht="15.75" thickBot="1" x14ac:dyDescent="0.25"/>
    <row r="3" spans="1:11" ht="15.75" thickBot="1" x14ac:dyDescent="0.25">
      <c r="A3" s="352" t="s">
        <v>33</v>
      </c>
      <c r="B3" s="353"/>
      <c r="C3" s="353"/>
      <c r="D3" s="353"/>
      <c r="E3" s="353"/>
      <c r="F3" s="353"/>
      <c r="G3" s="353"/>
      <c r="H3" s="353"/>
      <c r="I3" s="353"/>
      <c r="J3" s="353"/>
      <c r="K3" s="354"/>
    </row>
    <row r="4" spans="1:11" x14ac:dyDescent="0.2">
      <c r="A4" s="355" t="s">
        <v>34</v>
      </c>
      <c r="B4" s="357" t="s">
        <v>9</v>
      </c>
      <c r="C4" s="358"/>
      <c r="D4" s="358"/>
      <c r="E4" s="358"/>
      <c r="F4" s="358"/>
      <c r="G4" s="359"/>
      <c r="H4" s="357" t="s">
        <v>22</v>
      </c>
      <c r="I4" s="358"/>
      <c r="J4" s="359"/>
      <c r="K4" s="360" t="s">
        <v>8</v>
      </c>
    </row>
    <row r="5" spans="1:11" ht="27.75" x14ac:dyDescent="0.2">
      <c r="A5" s="355"/>
      <c r="B5" s="22" t="s">
        <v>35</v>
      </c>
      <c r="C5" s="5" t="s">
        <v>36</v>
      </c>
      <c r="D5" s="5" t="s">
        <v>37</v>
      </c>
      <c r="E5" s="40" t="s">
        <v>38</v>
      </c>
      <c r="F5" s="5" t="s">
        <v>39</v>
      </c>
      <c r="G5" s="23" t="s">
        <v>40</v>
      </c>
      <c r="H5" s="22" t="s">
        <v>35</v>
      </c>
      <c r="I5" s="5" t="s">
        <v>36</v>
      </c>
      <c r="J5" s="23" t="s">
        <v>37</v>
      </c>
      <c r="K5" s="360"/>
    </row>
    <row r="6" spans="1:11" x14ac:dyDescent="0.2">
      <c r="A6" s="356"/>
      <c r="B6" s="36" t="s">
        <v>41</v>
      </c>
      <c r="C6" s="15" t="s">
        <v>42</v>
      </c>
      <c r="D6" s="15" t="s">
        <v>42</v>
      </c>
      <c r="E6" s="41" t="s">
        <v>43</v>
      </c>
      <c r="F6" s="15" t="s">
        <v>44</v>
      </c>
      <c r="G6" s="25" t="s">
        <v>45</v>
      </c>
      <c r="H6" s="24" t="s">
        <v>46</v>
      </c>
      <c r="I6" s="15" t="s">
        <v>47</v>
      </c>
      <c r="J6" s="25" t="s">
        <v>47</v>
      </c>
      <c r="K6" s="361"/>
    </row>
    <row r="7" spans="1:11" x14ac:dyDescent="0.2">
      <c r="A7" s="350">
        <v>46118</v>
      </c>
      <c r="B7" s="50" t="s">
        <v>340</v>
      </c>
      <c r="C7" s="51" t="s">
        <v>341</v>
      </c>
      <c r="D7" s="51" t="s">
        <v>341</v>
      </c>
      <c r="E7" s="52"/>
      <c r="F7" s="53"/>
      <c r="G7" s="54"/>
      <c r="H7" s="55" t="s">
        <v>342</v>
      </c>
      <c r="I7" s="56" t="s">
        <v>343</v>
      </c>
      <c r="J7" s="57" t="s">
        <v>344</v>
      </c>
      <c r="K7" s="351" t="s">
        <v>345</v>
      </c>
    </row>
    <row r="8" spans="1:11" ht="41.25" x14ac:dyDescent="0.2">
      <c r="A8" s="350"/>
      <c r="B8" s="26" t="s">
        <v>346</v>
      </c>
      <c r="C8" s="9">
        <v>8260097912</v>
      </c>
      <c r="D8" s="9" t="s">
        <v>347</v>
      </c>
      <c r="E8" s="42"/>
      <c r="F8" s="9"/>
      <c r="G8" s="27"/>
      <c r="H8" s="26">
        <v>8260097965</v>
      </c>
      <c r="I8" s="9">
        <v>8260097966</v>
      </c>
      <c r="J8" s="27">
        <v>8260097964</v>
      </c>
      <c r="K8" s="351"/>
    </row>
    <row r="9" spans="1:11" x14ac:dyDescent="0.2">
      <c r="A9" s="346">
        <v>46119</v>
      </c>
      <c r="B9" s="59" t="s">
        <v>348</v>
      </c>
      <c r="C9" s="17" t="s">
        <v>349</v>
      </c>
      <c r="D9" s="17" t="s">
        <v>349</v>
      </c>
      <c r="E9" s="60" t="s">
        <v>350</v>
      </c>
      <c r="F9" s="61" t="s">
        <v>351</v>
      </c>
      <c r="G9" s="28"/>
      <c r="H9" s="62" t="s">
        <v>352</v>
      </c>
      <c r="I9" s="63" t="s">
        <v>353</v>
      </c>
      <c r="J9" s="64" t="s">
        <v>354</v>
      </c>
      <c r="K9" s="363" t="s">
        <v>345</v>
      </c>
    </row>
    <row r="10" spans="1:11" ht="41.25" x14ac:dyDescent="0.2">
      <c r="A10" s="362"/>
      <c r="B10" s="26" t="s">
        <v>355</v>
      </c>
      <c r="C10" s="9">
        <v>8260097979</v>
      </c>
      <c r="D10" s="9" t="s">
        <v>356</v>
      </c>
      <c r="E10" s="42" t="s">
        <v>357</v>
      </c>
      <c r="F10" s="9" t="s">
        <v>358</v>
      </c>
      <c r="G10" s="27"/>
      <c r="H10" s="26">
        <v>8260098041</v>
      </c>
      <c r="I10" s="9">
        <v>8260098040</v>
      </c>
      <c r="J10" s="27">
        <v>8260098039</v>
      </c>
      <c r="K10" s="363"/>
    </row>
    <row r="11" spans="1:11" x14ac:dyDescent="0.2">
      <c r="A11" s="346">
        <v>46120</v>
      </c>
      <c r="B11" s="59" t="s">
        <v>359</v>
      </c>
      <c r="C11" s="65" t="s">
        <v>360</v>
      </c>
      <c r="D11" s="17" t="s">
        <v>361</v>
      </c>
      <c r="E11" s="60"/>
      <c r="F11" s="66"/>
      <c r="G11" s="67"/>
      <c r="H11" s="70" t="s">
        <v>362</v>
      </c>
      <c r="I11" s="71" t="s">
        <v>363</v>
      </c>
      <c r="J11" s="73" t="s">
        <v>363</v>
      </c>
      <c r="K11" s="363" t="s">
        <v>364</v>
      </c>
    </row>
    <row r="12" spans="1:11" ht="54.75" x14ac:dyDescent="0.2">
      <c r="A12" s="362"/>
      <c r="B12" s="26" t="s">
        <v>365</v>
      </c>
      <c r="C12" s="9">
        <v>8260098051</v>
      </c>
      <c r="D12" s="9" t="s">
        <v>366</v>
      </c>
      <c r="E12" s="42"/>
      <c r="F12" s="9"/>
      <c r="G12" s="27"/>
      <c r="H12" s="26">
        <v>8260098113</v>
      </c>
      <c r="I12" s="9">
        <v>8260098111</v>
      </c>
      <c r="J12" s="27">
        <v>8260098112</v>
      </c>
      <c r="K12" s="363"/>
    </row>
    <row r="13" spans="1:11" x14ac:dyDescent="0.2">
      <c r="A13" s="346">
        <v>46121</v>
      </c>
      <c r="B13" s="59" t="s">
        <v>367</v>
      </c>
      <c r="C13" s="17" t="s">
        <v>368</v>
      </c>
      <c r="D13" s="17" t="s">
        <v>369</v>
      </c>
      <c r="E13" s="60" t="s">
        <v>370</v>
      </c>
      <c r="F13" s="69" t="s">
        <v>371</v>
      </c>
      <c r="G13" s="67"/>
      <c r="H13" s="70" t="s">
        <v>372</v>
      </c>
      <c r="I13" s="71" t="s">
        <v>373</v>
      </c>
      <c r="J13" s="72" t="s">
        <v>374</v>
      </c>
      <c r="K13" s="363" t="s">
        <v>375</v>
      </c>
    </row>
    <row r="14" spans="1:11" ht="45" customHeight="1" x14ac:dyDescent="0.2">
      <c r="A14" s="362"/>
      <c r="B14" s="26" t="s">
        <v>376</v>
      </c>
      <c r="C14" s="9" t="s">
        <v>377</v>
      </c>
      <c r="D14" s="9" t="s">
        <v>378</v>
      </c>
      <c r="E14" s="44">
        <v>8260098128</v>
      </c>
      <c r="F14" s="7">
        <v>8260098126</v>
      </c>
      <c r="G14" s="32"/>
      <c r="H14" s="31">
        <v>8260098185</v>
      </c>
      <c r="I14" s="9">
        <v>8260098186</v>
      </c>
      <c r="J14" s="32">
        <v>8260098184</v>
      </c>
      <c r="K14" s="363"/>
    </row>
    <row r="15" spans="1:11" x14ac:dyDescent="0.2">
      <c r="A15" s="346">
        <v>46122</v>
      </c>
      <c r="B15" s="29"/>
      <c r="C15" s="12"/>
      <c r="D15" s="12"/>
      <c r="E15" s="43"/>
      <c r="F15" s="12"/>
      <c r="G15" s="30"/>
      <c r="H15" s="29"/>
      <c r="I15" s="12"/>
      <c r="J15" s="30"/>
      <c r="K15" s="348"/>
    </row>
    <row r="16" spans="1:11" ht="45" customHeight="1" thickBot="1" x14ac:dyDescent="0.25">
      <c r="A16" s="347"/>
      <c r="B16" s="33"/>
      <c r="C16" s="37"/>
      <c r="D16" s="37"/>
      <c r="E16" s="45"/>
      <c r="F16" s="37"/>
      <c r="G16" s="35"/>
      <c r="H16" s="33"/>
      <c r="I16" s="34"/>
      <c r="J16" s="35"/>
      <c r="K16" s="349"/>
    </row>
    <row r="17" spans="1:7" x14ac:dyDescent="0.2">
      <c r="C17" s="2"/>
      <c r="D17" s="2"/>
      <c r="E17" s="2"/>
      <c r="F17" s="2"/>
      <c r="G17" s="2"/>
    </row>
    <row r="18" spans="1:7" x14ac:dyDescent="0.2">
      <c r="C18" s="2"/>
      <c r="D18" s="2"/>
      <c r="E18" s="2"/>
      <c r="F18" s="2"/>
      <c r="G18" s="2"/>
    </row>
    <row r="19" spans="1:7" ht="15" customHeight="1" x14ac:dyDescent="0.2">
      <c r="A19" s="280" t="s">
        <v>34</v>
      </c>
      <c r="B19" s="286" t="s">
        <v>379</v>
      </c>
      <c r="C19" s="286" t="s">
        <v>83</v>
      </c>
      <c r="D19" s="286" t="s">
        <v>84</v>
      </c>
      <c r="E19" s="2"/>
      <c r="F19" s="2"/>
      <c r="G19" s="2"/>
    </row>
    <row r="20" spans="1:7" x14ac:dyDescent="0.2">
      <c r="A20" s="280"/>
      <c r="B20" s="286"/>
      <c r="C20" s="286"/>
      <c r="D20" s="286"/>
      <c r="E20" s="2"/>
      <c r="F20" s="2"/>
      <c r="G20" s="2"/>
    </row>
    <row r="21" spans="1:7" x14ac:dyDescent="0.2">
      <c r="A21" s="280"/>
      <c r="B21" s="14" t="s">
        <v>380</v>
      </c>
      <c r="C21" s="15" t="s">
        <v>381</v>
      </c>
      <c r="D21" s="15" t="s">
        <v>382</v>
      </c>
      <c r="E21" s="2"/>
      <c r="F21" s="2"/>
      <c r="G21" s="2"/>
    </row>
    <row r="22" spans="1:7" s="6" customFormat="1" ht="20.100000000000001" customHeight="1" x14ac:dyDescent="0.2">
      <c r="A22" s="335">
        <v>46118</v>
      </c>
      <c r="B22" s="53" t="s">
        <v>383</v>
      </c>
      <c r="C22" s="53"/>
      <c r="D22" s="53"/>
      <c r="E22" s="3"/>
      <c r="F22" s="3"/>
      <c r="G22" s="3"/>
    </row>
    <row r="23" spans="1:7" s="6" customFormat="1" ht="162" x14ac:dyDescent="0.2">
      <c r="A23" s="335"/>
      <c r="B23" s="9" t="s">
        <v>384</v>
      </c>
      <c r="C23" s="9"/>
      <c r="D23" s="7"/>
      <c r="E23" s="3"/>
      <c r="F23" s="3"/>
      <c r="G23" s="3"/>
    </row>
    <row r="24" spans="1:7" s="6" customFormat="1" ht="20.100000000000001" customHeight="1" x14ac:dyDescent="0.2">
      <c r="A24" s="336">
        <v>46119</v>
      </c>
      <c r="B24" s="53" t="s">
        <v>385</v>
      </c>
      <c r="C24" s="11"/>
      <c r="D24" s="11"/>
      <c r="E24" s="3"/>
      <c r="F24" s="3"/>
      <c r="G24" s="3"/>
    </row>
    <row r="25" spans="1:7" s="6" customFormat="1" ht="75" customHeight="1" x14ac:dyDescent="0.2">
      <c r="A25" s="336"/>
      <c r="B25" s="9" t="s">
        <v>386</v>
      </c>
      <c r="C25" s="7"/>
      <c r="D25" s="7"/>
      <c r="E25" s="3"/>
      <c r="F25" s="3"/>
      <c r="G25" s="3"/>
    </row>
    <row r="26" spans="1:7" s="6" customFormat="1" ht="20.100000000000001" customHeight="1" x14ac:dyDescent="0.2">
      <c r="A26" s="336">
        <v>46120</v>
      </c>
      <c r="B26" s="68" t="s">
        <v>387</v>
      </c>
      <c r="C26" s="11"/>
      <c r="D26" s="11"/>
      <c r="E26" s="3"/>
      <c r="F26" s="3"/>
      <c r="G26" s="3"/>
    </row>
    <row r="27" spans="1:7" s="6" customFormat="1" ht="68.25" x14ac:dyDescent="0.2">
      <c r="A27" s="336"/>
      <c r="B27" s="9" t="s">
        <v>388</v>
      </c>
      <c r="C27" s="7"/>
      <c r="D27" s="7"/>
      <c r="E27" s="3"/>
      <c r="F27" s="3"/>
      <c r="G27" s="3"/>
    </row>
    <row r="28" spans="1:7" s="6" customFormat="1" ht="20.100000000000001" customHeight="1" x14ac:dyDescent="0.2">
      <c r="A28" s="336">
        <v>46121</v>
      </c>
      <c r="B28" s="74" t="s">
        <v>389</v>
      </c>
      <c r="C28" s="56" t="s">
        <v>390</v>
      </c>
      <c r="D28" s="11"/>
      <c r="E28" s="3"/>
      <c r="F28" s="3"/>
      <c r="G28" s="3"/>
    </row>
    <row r="29" spans="1:7" s="6" customFormat="1" ht="72.75" customHeight="1" x14ac:dyDescent="0.2">
      <c r="A29" s="336"/>
      <c r="B29" s="9" t="s">
        <v>391</v>
      </c>
      <c r="C29" s="9" t="s">
        <v>392</v>
      </c>
      <c r="D29" s="7"/>
      <c r="E29" s="3"/>
      <c r="F29" s="3"/>
      <c r="G29" s="3"/>
    </row>
    <row r="30" spans="1:7" s="6" customFormat="1" ht="20.100000000000001" customHeight="1" x14ac:dyDescent="0.2">
      <c r="A30" s="336">
        <v>46122</v>
      </c>
      <c r="B30" s="77" t="s">
        <v>393</v>
      </c>
      <c r="C30" s="46" t="s">
        <v>394</v>
      </c>
      <c r="D30" s="11"/>
      <c r="E30" s="3"/>
      <c r="F30" s="3"/>
      <c r="G30" s="3"/>
    </row>
    <row r="31" spans="1:7" s="6" customFormat="1" ht="20.100000000000001" customHeight="1" x14ac:dyDescent="0.2">
      <c r="A31" s="336"/>
      <c r="B31" s="7"/>
      <c r="C31" s="7"/>
      <c r="D31" s="7"/>
      <c r="E31" s="3"/>
      <c r="F31" s="3"/>
      <c r="G31" s="3"/>
    </row>
    <row r="32" spans="1:7" x14ac:dyDescent="0.2">
      <c r="C32" s="2"/>
      <c r="D32" s="2"/>
      <c r="E32" s="2"/>
      <c r="F32" s="2"/>
      <c r="G32" s="2"/>
    </row>
    <row r="33" spans="1:14" x14ac:dyDescent="0.2">
      <c r="C33" s="2"/>
      <c r="D33" s="2"/>
      <c r="E33" s="2"/>
      <c r="F33" s="2"/>
      <c r="G33" s="2"/>
    </row>
    <row r="34" spans="1:14" x14ac:dyDescent="0.2">
      <c r="A34" s="279" t="s">
        <v>96</v>
      </c>
      <c r="B34" s="279"/>
      <c r="C34" s="279"/>
      <c r="D34" s="279"/>
      <c r="E34" s="279"/>
      <c r="F34" s="279"/>
      <c r="G34" s="279"/>
      <c r="H34" s="279"/>
      <c r="I34" s="38"/>
      <c r="J34" s="38"/>
      <c r="K34" s="38"/>
    </row>
    <row r="35" spans="1:14" ht="27.75" x14ac:dyDescent="0.2">
      <c r="A35" s="280" t="s">
        <v>34</v>
      </c>
      <c r="B35" s="4" t="s">
        <v>97</v>
      </c>
      <c r="C35" s="5" t="s">
        <v>98</v>
      </c>
      <c r="D35" s="5" t="s">
        <v>99</v>
      </c>
      <c r="E35" s="5" t="s">
        <v>100</v>
      </c>
      <c r="F35" s="5" t="s">
        <v>101</v>
      </c>
      <c r="G35" s="5" t="s">
        <v>102</v>
      </c>
      <c r="H35" s="282" t="s">
        <v>8</v>
      </c>
    </row>
    <row r="36" spans="1:14" x14ac:dyDescent="0.2">
      <c r="A36" s="280"/>
      <c r="B36" s="14" t="s">
        <v>103</v>
      </c>
      <c r="C36" s="15" t="s">
        <v>104</v>
      </c>
      <c r="D36" s="15" t="s">
        <v>42</v>
      </c>
      <c r="E36" s="15" t="s">
        <v>105</v>
      </c>
      <c r="F36" s="15" t="s">
        <v>106</v>
      </c>
      <c r="G36" s="15" t="s">
        <v>107</v>
      </c>
      <c r="H36" s="282"/>
    </row>
    <row r="37" spans="1:14" x14ac:dyDescent="0.2">
      <c r="A37" s="335">
        <v>46118</v>
      </c>
      <c r="B37" s="76" t="s">
        <v>395</v>
      </c>
      <c r="C37" s="12" t="s">
        <v>396</v>
      </c>
      <c r="D37" s="12" t="s">
        <v>397</v>
      </c>
      <c r="E37" s="12" t="s">
        <v>398</v>
      </c>
      <c r="F37" s="11" t="s">
        <v>399</v>
      </c>
      <c r="G37" s="12" t="s">
        <v>400</v>
      </c>
      <c r="H37" s="344" t="s">
        <v>401</v>
      </c>
    </row>
    <row r="38" spans="1:14" ht="45" customHeight="1" x14ac:dyDescent="0.2">
      <c r="A38" s="335"/>
      <c r="B38" s="9">
        <v>8260097946</v>
      </c>
      <c r="C38" s="9" t="s">
        <v>402</v>
      </c>
      <c r="D38" s="9">
        <v>8260097942</v>
      </c>
      <c r="E38" s="9">
        <v>8260097948</v>
      </c>
      <c r="F38" s="9" t="s">
        <v>403</v>
      </c>
      <c r="G38" s="9">
        <v>8260097945</v>
      </c>
      <c r="H38" s="345"/>
    </row>
    <row r="39" spans="1:14" x14ac:dyDescent="0.2">
      <c r="A39" s="332">
        <v>46119</v>
      </c>
      <c r="B39" s="76" t="s">
        <v>404</v>
      </c>
      <c r="C39" s="11" t="s">
        <v>405</v>
      </c>
      <c r="D39" s="11" t="s">
        <v>406</v>
      </c>
      <c r="E39" s="11" t="s">
        <v>407</v>
      </c>
      <c r="F39" s="11" t="s">
        <v>408</v>
      </c>
      <c r="G39" s="11" t="s">
        <v>409</v>
      </c>
      <c r="H39" s="326"/>
    </row>
    <row r="40" spans="1:14" ht="45" customHeight="1" x14ac:dyDescent="0.2">
      <c r="A40" s="334"/>
      <c r="B40" s="7">
        <v>8260098022</v>
      </c>
      <c r="C40" s="9" t="s">
        <v>410</v>
      </c>
      <c r="D40" s="7">
        <v>8260098030</v>
      </c>
      <c r="E40" s="7">
        <v>8260098024</v>
      </c>
      <c r="F40" s="9" t="s">
        <v>411</v>
      </c>
      <c r="G40" s="7">
        <v>8260098017</v>
      </c>
      <c r="H40" s="328"/>
    </row>
    <row r="41" spans="1:14" x14ac:dyDescent="0.2">
      <c r="A41" s="332">
        <v>46120</v>
      </c>
      <c r="B41" s="12" t="s">
        <v>412</v>
      </c>
      <c r="C41" s="12" t="s">
        <v>413</v>
      </c>
      <c r="D41" s="12" t="s">
        <v>414</v>
      </c>
      <c r="E41" s="12" t="s">
        <v>415</v>
      </c>
      <c r="F41" s="12" t="s">
        <v>416</v>
      </c>
      <c r="G41" s="12" t="s">
        <v>417</v>
      </c>
      <c r="H41" s="326"/>
    </row>
    <row r="42" spans="1:14" ht="45" customHeight="1" x14ac:dyDescent="0.2">
      <c r="A42" s="334"/>
      <c r="B42" s="7">
        <v>8260098086</v>
      </c>
      <c r="C42" s="9" t="s">
        <v>418</v>
      </c>
      <c r="D42" s="7">
        <v>8260098094</v>
      </c>
      <c r="E42" s="7">
        <v>8260098089</v>
      </c>
      <c r="F42" s="9" t="s">
        <v>419</v>
      </c>
      <c r="G42" s="7">
        <v>8260098091</v>
      </c>
      <c r="H42" s="328"/>
    </row>
    <row r="43" spans="1:14" x14ac:dyDescent="0.2">
      <c r="A43" s="332">
        <v>46121</v>
      </c>
      <c r="B43" s="12" t="s">
        <v>420</v>
      </c>
      <c r="C43" s="12" t="s">
        <v>421</v>
      </c>
      <c r="D43" s="12" t="s">
        <v>422</v>
      </c>
      <c r="E43" s="12" t="s">
        <v>423</v>
      </c>
      <c r="F43" s="12" t="s">
        <v>421</v>
      </c>
      <c r="G43" s="12" t="s">
        <v>424</v>
      </c>
      <c r="H43" s="337"/>
    </row>
    <row r="44" spans="1:14" ht="45" customHeight="1" x14ac:dyDescent="0.2">
      <c r="A44" s="334"/>
      <c r="B44" s="7">
        <v>8260098173</v>
      </c>
      <c r="C44" s="9" t="s">
        <v>425</v>
      </c>
      <c r="D44" s="7">
        <v>8260098170</v>
      </c>
      <c r="E44" s="7">
        <v>8260098163</v>
      </c>
      <c r="F44" s="9">
        <v>8260098153</v>
      </c>
      <c r="G44" s="7">
        <v>8260098162</v>
      </c>
      <c r="H44" s="338"/>
    </row>
    <row r="45" spans="1:14" x14ac:dyDescent="0.2">
      <c r="A45" s="332">
        <v>46122</v>
      </c>
      <c r="B45" s="12" t="s">
        <v>426</v>
      </c>
      <c r="C45" s="12" t="s">
        <v>427</v>
      </c>
      <c r="D45" s="12" t="s">
        <v>428</v>
      </c>
      <c r="E45" s="12" t="s">
        <v>429</v>
      </c>
      <c r="F45" s="12" t="s">
        <v>430</v>
      </c>
      <c r="G45" s="12" t="s">
        <v>424</v>
      </c>
      <c r="H45" s="337"/>
    </row>
    <row r="46" spans="1:14" s="6" customFormat="1" ht="45" customHeight="1" x14ac:dyDescent="0.2">
      <c r="A46" s="334"/>
      <c r="B46" s="7">
        <v>8260098228</v>
      </c>
      <c r="C46" s="9" t="s">
        <v>431</v>
      </c>
      <c r="D46" s="7">
        <v>8260098245</v>
      </c>
      <c r="E46" s="7">
        <v>8260098236</v>
      </c>
      <c r="F46" s="9">
        <v>8260098245</v>
      </c>
      <c r="G46" s="7">
        <v>8260098241</v>
      </c>
      <c r="H46" s="338"/>
    </row>
    <row r="47" spans="1:14" x14ac:dyDescent="0.2">
      <c r="C47" s="2"/>
      <c r="D47" s="2"/>
      <c r="E47" s="2"/>
      <c r="F47" s="2"/>
      <c r="G47" s="2"/>
      <c r="H47" s="2"/>
      <c r="I47" s="2"/>
      <c r="J47" s="2"/>
      <c r="K47" s="2"/>
    </row>
    <row r="48" spans="1:14" x14ac:dyDescent="0.2">
      <c r="A48" s="279" t="s">
        <v>143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38"/>
      <c r="M48" s="38"/>
      <c r="N48" s="38"/>
    </row>
    <row r="49" spans="1:11" ht="27.75" x14ac:dyDescent="0.2">
      <c r="A49" s="280" t="s">
        <v>34</v>
      </c>
      <c r="B49" s="5" t="s">
        <v>144</v>
      </c>
      <c r="C49" s="5" t="s">
        <v>145</v>
      </c>
      <c r="D49" s="5" t="s">
        <v>146</v>
      </c>
      <c r="E49" s="5" t="s">
        <v>147</v>
      </c>
      <c r="F49" s="5" t="s">
        <v>148</v>
      </c>
      <c r="G49" s="5" t="s">
        <v>149</v>
      </c>
      <c r="H49" s="5" t="s">
        <v>150</v>
      </c>
      <c r="I49" s="5" t="s">
        <v>151</v>
      </c>
      <c r="J49" s="5" t="s">
        <v>152</v>
      </c>
      <c r="K49" s="282" t="s">
        <v>8</v>
      </c>
    </row>
    <row r="50" spans="1:11" x14ac:dyDescent="0.2">
      <c r="A50" s="280"/>
      <c r="B50" s="15" t="s">
        <v>153</v>
      </c>
      <c r="C50" s="15" t="s">
        <v>153</v>
      </c>
      <c r="D50" s="15" t="s">
        <v>154</v>
      </c>
      <c r="E50" s="15" t="s">
        <v>155</v>
      </c>
      <c r="F50" s="15" t="s">
        <v>156</v>
      </c>
      <c r="G50" s="15" t="s">
        <v>156</v>
      </c>
      <c r="H50" s="15" t="s">
        <v>45</v>
      </c>
      <c r="I50" s="15" t="s">
        <v>157</v>
      </c>
      <c r="J50" s="15" t="s">
        <v>157</v>
      </c>
      <c r="K50" s="282"/>
    </row>
    <row r="51" spans="1:11" x14ac:dyDescent="0.2">
      <c r="A51" s="335">
        <v>46118</v>
      </c>
      <c r="B51" s="12" t="s">
        <v>432</v>
      </c>
      <c r="C51" s="12" t="s">
        <v>433</v>
      </c>
      <c r="D51" s="12" t="s">
        <v>434</v>
      </c>
      <c r="E51" s="12" t="s">
        <v>435</v>
      </c>
      <c r="F51" s="75" t="s">
        <v>436</v>
      </c>
      <c r="G51" s="12" t="s">
        <v>437</v>
      </c>
      <c r="H51" s="12" t="s">
        <v>438</v>
      </c>
      <c r="I51" s="12" t="s">
        <v>439</v>
      </c>
      <c r="J51" s="12"/>
      <c r="K51" s="320" t="s">
        <v>440</v>
      </c>
    </row>
    <row r="52" spans="1:11" ht="45" customHeight="1" x14ac:dyDescent="0.2">
      <c r="A52" s="335"/>
      <c r="B52" s="9">
        <v>8260097951</v>
      </c>
      <c r="C52" s="9" t="s">
        <v>441</v>
      </c>
      <c r="D52" s="9">
        <v>8260097929</v>
      </c>
      <c r="E52" s="9">
        <v>8260097930</v>
      </c>
      <c r="F52" s="9">
        <v>8260097931</v>
      </c>
      <c r="G52" s="9">
        <v>8260097928</v>
      </c>
      <c r="H52" s="9">
        <v>8260097961</v>
      </c>
      <c r="I52" s="9">
        <v>8260097927</v>
      </c>
      <c r="J52" s="9"/>
      <c r="K52" s="322"/>
    </row>
    <row r="53" spans="1:11" x14ac:dyDescent="0.2">
      <c r="A53" s="332">
        <v>46119</v>
      </c>
      <c r="B53" s="12" t="s">
        <v>442</v>
      </c>
      <c r="C53" s="12" t="s">
        <v>443</v>
      </c>
      <c r="D53" s="12" t="s">
        <v>444</v>
      </c>
      <c r="E53" s="12" t="s">
        <v>445</v>
      </c>
      <c r="F53" s="12" t="s">
        <v>446</v>
      </c>
      <c r="G53" s="12" t="s">
        <v>447</v>
      </c>
      <c r="H53" s="75" t="s">
        <v>448</v>
      </c>
      <c r="I53" s="12"/>
      <c r="J53" s="12"/>
      <c r="K53" s="320" t="s">
        <v>449</v>
      </c>
    </row>
    <row r="54" spans="1:11" ht="45" customHeight="1" x14ac:dyDescent="0.2">
      <c r="A54" s="334"/>
      <c r="B54" s="9">
        <v>8260098019</v>
      </c>
      <c r="C54" s="9" t="s">
        <v>450</v>
      </c>
      <c r="D54" s="9">
        <v>8260098006</v>
      </c>
      <c r="E54" s="9">
        <v>8260098015</v>
      </c>
      <c r="F54" s="9">
        <v>8260098004</v>
      </c>
      <c r="G54" s="7">
        <v>8260098028</v>
      </c>
      <c r="H54" s="9">
        <v>8260098023</v>
      </c>
      <c r="I54" s="8"/>
      <c r="J54" s="8"/>
      <c r="K54" s="322"/>
    </row>
    <row r="55" spans="1:11" x14ac:dyDescent="0.2">
      <c r="A55" s="332">
        <v>46120</v>
      </c>
      <c r="B55" s="16" t="s">
        <v>451</v>
      </c>
      <c r="C55" s="16" t="s">
        <v>452</v>
      </c>
      <c r="D55" s="16" t="s">
        <v>453</v>
      </c>
      <c r="E55" s="16" t="s">
        <v>454</v>
      </c>
      <c r="F55" s="16" t="s">
        <v>455</v>
      </c>
      <c r="G55" s="11" t="s">
        <v>456</v>
      </c>
      <c r="H55" s="12" t="s">
        <v>457</v>
      </c>
      <c r="I55" s="12"/>
      <c r="J55" s="12"/>
      <c r="K55" s="337"/>
    </row>
    <row r="56" spans="1:11" ht="45" customHeight="1" x14ac:dyDescent="0.2">
      <c r="A56" s="334"/>
      <c r="B56" s="9">
        <v>8260098098</v>
      </c>
      <c r="C56" s="9" t="s">
        <v>458</v>
      </c>
      <c r="D56" s="9">
        <v>8260098074</v>
      </c>
      <c r="E56" s="9">
        <v>8260098104</v>
      </c>
      <c r="F56" s="9">
        <v>8260098100</v>
      </c>
      <c r="G56" s="7">
        <v>8260098106</v>
      </c>
      <c r="H56" s="9">
        <v>8260098096</v>
      </c>
      <c r="I56" s="9"/>
      <c r="J56" s="9"/>
      <c r="K56" s="338"/>
    </row>
    <row r="57" spans="1:11" x14ac:dyDescent="0.2">
      <c r="A57" s="332">
        <v>46121</v>
      </c>
      <c r="B57" s="16" t="s">
        <v>459</v>
      </c>
      <c r="C57" s="16" t="s">
        <v>460</v>
      </c>
      <c r="D57" s="16" t="s">
        <v>461</v>
      </c>
      <c r="E57" s="16" t="s">
        <v>421</v>
      </c>
      <c r="F57" s="16" t="s">
        <v>462</v>
      </c>
      <c r="G57" s="11" t="s">
        <v>463</v>
      </c>
      <c r="H57" s="16" t="s">
        <v>464</v>
      </c>
      <c r="I57" s="16"/>
      <c r="J57" s="16"/>
      <c r="K57" s="337"/>
    </row>
    <row r="58" spans="1:11" ht="45" customHeight="1" x14ac:dyDescent="0.2">
      <c r="A58" s="334"/>
      <c r="B58" s="9">
        <v>8260098166</v>
      </c>
      <c r="C58" s="9" t="s">
        <v>465</v>
      </c>
      <c r="D58" s="9">
        <v>8260098149</v>
      </c>
      <c r="E58" s="9">
        <v>8260098175</v>
      </c>
      <c r="F58" s="9">
        <v>8260098174</v>
      </c>
      <c r="G58" s="7">
        <v>8260098181</v>
      </c>
      <c r="H58" s="9">
        <v>8260098157</v>
      </c>
      <c r="I58" s="9"/>
      <c r="J58" s="9"/>
      <c r="K58" s="338"/>
    </row>
    <row r="59" spans="1:11" x14ac:dyDescent="0.2">
      <c r="A59" s="332">
        <v>46122</v>
      </c>
      <c r="B59" s="16" t="s">
        <v>466</v>
      </c>
      <c r="C59" s="16" t="s">
        <v>467</v>
      </c>
      <c r="D59" s="16" t="s">
        <v>427</v>
      </c>
      <c r="E59" s="16" t="s">
        <v>468</v>
      </c>
      <c r="F59" s="16" t="s">
        <v>469</v>
      </c>
      <c r="G59" s="11" t="s">
        <v>470</v>
      </c>
      <c r="H59" s="16" t="s">
        <v>467</v>
      </c>
      <c r="I59" s="12"/>
      <c r="J59" s="12"/>
      <c r="K59" s="337"/>
    </row>
    <row r="60" spans="1:11" ht="45" customHeight="1" x14ac:dyDescent="0.2">
      <c r="A60" s="334"/>
      <c r="B60" s="9">
        <v>8260098237</v>
      </c>
      <c r="C60" s="9" t="s">
        <v>471</v>
      </c>
      <c r="D60" s="9">
        <v>8260098219</v>
      </c>
      <c r="E60" s="9">
        <v>8260098215</v>
      </c>
      <c r="F60" s="9">
        <v>8260098233</v>
      </c>
      <c r="G60" s="7">
        <v>8260098234</v>
      </c>
      <c r="H60" s="9">
        <v>8260098226</v>
      </c>
      <c r="I60" s="8"/>
      <c r="J60" s="8"/>
      <c r="K60" s="338"/>
    </row>
    <row r="62" spans="1:11" ht="27.75" x14ac:dyDescent="0.2">
      <c r="A62" s="280" t="s">
        <v>34</v>
      </c>
      <c r="B62" s="5" t="s">
        <v>196</v>
      </c>
      <c r="C62" s="5" t="s">
        <v>472</v>
      </c>
      <c r="D62" s="5" t="s">
        <v>198</v>
      </c>
      <c r="E62" s="5" t="s">
        <v>199</v>
      </c>
      <c r="F62" s="5" t="s">
        <v>200</v>
      </c>
      <c r="G62" s="5" t="s">
        <v>201</v>
      </c>
      <c r="H62" s="5" t="s">
        <v>202</v>
      </c>
      <c r="I62" s="5" t="s">
        <v>203</v>
      </c>
      <c r="J62" s="5" t="s">
        <v>204</v>
      </c>
      <c r="K62" s="282" t="s">
        <v>8</v>
      </c>
    </row>
    <row r="63" spans="1:11" x14ac:dyDescent="0.2">
      <c r="A63" s="280"/>
      <c r="B63" s="15" t="s">
        <v>153</v>
      </c>
      <c r="C63" s="15" t="s">
        <v>205</v>
      </c>
      <c r="D63" s="15" t="s">
        <v>206</v>
      </c>
      <c r="E63" s="15" t="s">
        <v>207</v>
      </c>
      <c r="F63" s="15" t="s">
        <v>208</v>
      </c>
      <c r="G63" s="15" t="s">
        <v>207</v>
      </c>
      <c r="H63" s="15" t="s">
        <v>103</v>
      </c>
      <c r="I63" s="15" t="s">
        <v>208</v>
      </c>
      <c r="J63" s="15" t="s">
        <v>209</v>
      </c>
      <c r="K63" s="282"/>
    </row>
    <row r="64" spans="1:11" x14ac:dyDescent="0.2">
      <c r="A64" s="335">
        <v>46118</v>
      </c>
      <c r="B64" s="12" t="s">
        <v>473</v>
      </c>
      <c r="C64" s="12" t="s">
        <v>474</v>
      </c>
      <c r="D64" s="12" t="s">
        <v>475</v>
      </c>
      <c r="E64" s="12" t="s">
        <v>476</v>
      </c>
      <c r="F64" s="12" t="s">
        <v>477</v>
      </c>
      <c r="G64" s="12" t="s">
        <v>478</v>
      </c>
      <c r="H64" s="12" t="s">
        <v>479</v>
      </c>
      <c r="I64" s="76" t="s">
        <v>480</v>
      </c>
      <c r="J64" s="12"/>
      <c r="K64" s="320" t="s">
        <v>481</v>
      </c>
    </row>
    <row r="65" spans="1:13" ht="45" customHeight="1" x14ac:dyDescent="0.2">
      <c r="A65" s="335"/>
      <c r="B65" s="9">
        <v>8260097954</v>
      </c>
      <c r="C65" s="9">
        <v>8260097939</v>
      </c>
      <c r="D65" s="9">
        <v>8260097952</v>
      </c>
      <c r="E65" s="9">
        <v>8260097949</v>
      </c>
      <c r="F65" s="9">
        <v>8260097956</v>
      </c>
      <c r="G65" s="9">
        <v>8260097940</v>
      </c>
      <c r="H65" s="9">
        <v>8260097959</v>
      </c>
      <c r="I65" s="9" t="s">
        <v>482</v>
      </c>
      <c r="J65" s="9"/>
      <c r="K65" s="322"/>
    </row>
    <row r="66" spans="1:13" x14ac:dyDescent="0.2">
      <c r="A66" s="332">
        <v>46119</v>
      </c>
      <c r="B66" s="12" t="s">
        <v>483</v>
      </c>
      <c r="C66" s="12" t="s">
        <v>484</v>
      </c>
      <c r="D66" s="12" t="s">
        <v>485</v>
      </c>
      <c r="E66" s="12" t="s">
        <v>486</v>
      </c>
      <c r="F66" s="12" t="s">
        <v>448</v>
      </c>
      <c r="G66" s="12" t="s">
        <v>487</v>
      </c>
      <c r="H66" s="75" t="s">
        <v>488</v>
      </c>
      <c r="I66" s="12" t="s">
        <v>489</v>
      </c>
      <c r="J66" s="12"/>
      <c r="K66" s="326" t="s">
        <v>490</v>
      </c>
    </row>
    <row r="67" spans="1:13" ht="45" customHeight="1" x14ac:dyDescent="0.2">
      <c r="A67" s="334"/>
      <c r="B67" s="9">
        <v>8260098031</v>
      </c>
      <c r="C67" s="9">
        <v>8260098018</v>
      </c>
      <c r="D67" s="9">
        <v>8260098032</v>
      </c>
      <c r="E67" s="7">
        <v>8260098003</v>
      </c>
      <c r="F67" s="9">
        <v>8260098029</v>
      </c>
      <c r="G67" s="9">
        <v>8260098034</v>
      </c>
      <c r="H67" s="9">
        <v>8260098014</v>
      </c>
      <c r="I67" s="9" t="s">
        <v>491</v>
      </c>
      <c r="J67" s="7"/>
      <c r="K67" s="328"/>
    </row>
    <row r="68" spans="1:13" x14ac:dyDescent="0.2">
      <c r="A68" s="332">
        <v>46120</v>
      </c>
      <c r="B68" s="16" t="s">
        <v>492</v>
      </c>
      <c r="C68" s="16" t="s">
        <v>493</v>
      </c>
      <c r="D68" s="16" t="s">
        <v>494</v>
      </c>
      <c r="E68" s="11" t="s">
        <v>495</v>
      </c>
      <c r="F68" s="16" t="s">
        <v>496</v>
      </c>
      <c r="G68" s="16" t="s">
        <v>497</v>
      </c>
      <c r="H68" s="16" t="s">
        <v>498</v>
      </c>
      <c r="I68" s="16" t="s">
        <v>499</v>
      </c>
      <c r="J68" s="11"/>
      <c r="K68" s="337"/>
    </row>
    <row r="69" spans="1:13" ht="45" customHeight="1" x14ac:dyDescent="0.2">
      <c r="A69" s="334"/>
      <c r="B69" s="9">
        <v>8260098075</v>
      </c>
      <c r="C69" s="9">
        <v>8260098076</v>
      </c>
      <c r="D69" s="9">
        <v>8260098085</v>
      </c>
      <c r="E69" s="7">
        <v>8260098101</v>
      </c>
      <c r="F69" s="9">
        <v>8260098107</v>
      </c>
      <c r="G69" s="9">
        <v>8260098099</v>
      </c>
      <c r="H69" s="9">
        <v>8260098097</v>
      </c>
      <c r="I69" s="9" t="s">
        <v>500</v>
      </c>
      <c r="J69" s="7"/>
      <c r="K69" s="338"/>
    </row>
    <row r="70" spans="1:13" x14ac:dyDescent="0.2">
      <c r="A70" s="332">
        <v>46121</v>
      </c>
      <c r="B70" s="16" t="s">
        <v>501</v>
      </c>
      <c r="C70" s="16" t="s">
        <v>502</v>
      </c>
      <c r="D70" s="16" t="s">
        <v>503</v>
      </c>
      <c r="E70" s="11" t="s">
        <v>504</v>
      </c>
      <c r="F70" s="16" t="s">
        <v>505</v>
      </c>
      <c r="G70" s="16" t="s">
        <v>506</v>
      </c>
      <c r="H70" s="16" t="s">
        <v>507</v>
      </c>
      <c r="I70" s="16" t="s">
        <v>423</v>
      </c>
      <c r="J70" s="11"/>
      <c r="K70" s="337"/>
    </row>
    <row r="71" spans="1:13" ht="45" customHeight="1" x14ac:dyDescent="0.2">
      <c r="A71" s="334"/>
      <c r="B71" s="9">
        <v>8260098172</v>
      </c>
      <c r="C71" s="9">
        <v>8260098158</v>
      </c>
      <c r="D71" s="9">
        <v>8260098168</v>
      </c>
      <c r="E71" s="7">
        <v>8260098171</v>
      </c>
      <c r="F71" s="9">
        <v>8260098169</v>
      </c>
      <c r="G71" s="9">
        <v>8260098161</v>
      </c>
      <c r="H71" s="9">
        <v>8260098167</v>
      </c>
      <c r="I71" s="9" t="s">
        <v>508</v>
      </c>
      <c r="J71" s="7"/>
      <c r="K71" s="338"/>
    </row>
    <row r="72" spans="1:13" x14ac:dyDescent="0.2">
      <c r="A72" s="332">
        <v>46122</v>
      </c>
      <c r="B72" s="16" t="s">
        <v>509</v>
      </c>
      <c r="C72" s="16" t="s">
        <v>510</v>
      </c>
      <c r="D72" s="16" t="s">
        <v>511</v>
      </c>
      <c r="E72" s="11" t="s">
        <v>510</v>
      </c>
      <c r="F72" s="16" t="s">
        <v>512</v>
      </c>
      <c r="G72" s="16" t="s">
        <v>513</v>
      </c>
      <c r="H72" s="16" t="s">
        <v>514</v>
      </c>
      <c r="I72" s="16" t="s">
        <v>515</v>
      </c>
      <c r="J72" s="11"/>
      <c r="K72" s="337"/>
    </row>
    <row r="73" spans="1:13" ht="45" customHeight="1" x14ac:dyDescent="0.2">
      <c r="A73" s="334"/>
      <c r="B73" s="9">
        <v>8260098239</v>
      </c>
      <c r="C73" s="9">
        <v>8260098222</v>
      </c>
      <c r="D73" s="9">
        <v>8260098244</v>
      </c>
      <c r="E73" s="7">
        <v>8260098232</v>
      </c>
      <c r="F73" s="9">
        <v>8260098240</v>
      </c>
      <c r="G73" s="9">
        <v>8260098235</v>
      </c>
      <c r="H73" s="9">
        <v>8260098227</v>
      </c>
      <c r="I73" s="9" t="s">
        <v>516</v>
      </c>
      <c r="J73" s="7"/>
      <c r="K73" s="338"/>
    </row>
    <row r="75" spans="1:13" x14ac:dyDescent="0.2">
      <c r="A75" s="279" t="s">
        <v>252</v>
      </c>
      <c r="B75" s="279"/>
      <c r="C75" s="279"/>
      <c r="D75" s="279"/>
      <c r="E75" s="279"/>
      <c r="F75" s="279"/>
      <c r="G75" s="279"/>
      <c r="H75" s="279"/>
      <c r="I75" s="279"/>
      <c r="J75" s="279"/>
      <c r="K75" s="38"/>
      <c r="L75" s="38"/>
      <c r="M75" s="38"/>
    </row>
    <row r="76" spans="1:13" ht="27.75" x14ac:dyDescent="0.2">
      <c r="A76" s="280" t="s">
        <v>34</v>
      </c>
      <c r="B76" s="5" t="s">
        <v>253</v>
      </c>
      <c r="C76" s="5" t="s">
        <v>254</v>
      </c>
      <c r="D76" s="5" t="s">
        <v>255</v>
      </c>
      <c r="E76" s="5" t="s">
        <v>256</v>
      </c>
      <c r="F76" s="5" t="s">
        <v>257</v>
      </c>
      <c r="G76" s="5" t="s">
        <v>258</v>
      </c>
      <c r="H76" s="5" t="s">
        <v>259</v>
      </c>
      <c r="I76" s="5" t="s">
        <v>260</v>
      </c>
      <c r="J76" s="282" t="s">
        <v>8</v>
      </c>
    </row>
    <row r="77" spans="1:13" x14ac:dyDescent="0.2">
      <c r="A77" s="280"/>
      <c r="B77" s="15" t="s">
        <v>154</v>
      </c>
      <c r="C77" s="15" t="s">
        <v>261</v>
      </c>
      <c r="D77" s="15" t="s">
        <v>262</v>
      </c>
      <c r="E77" s="15" t="s">
        <v>42</v>
      </c>
      <c r="F77" s="15" t="s">
        <v>263</v>
      </c>
      <c r="G77" s="15" t="s">
        <v>264</v>
      </c>
      <c r="H77" s="15" t="s">
        <v>265</v>
      </c>
      <c r="I77" s="15" t="s">
        <v>263</v>
      </c>
      <c r="J77" s="282"/>
    </row>
    <row r="78" spans="1:13" x14ac:dyDescent="0.2">
      <c r="A78" s="335">
        <v>46118</v>
      </c>
      <c r="B78" s="11" t="s">
        <v>517</v>
      </c>
      <c r="C78" s="12" t="s">
        <v>518</v>
      </c>
      <c r="D78" s="12" t="s">
        <v>519</v>
      </c>
      <c r="E78" s="12" t="s">
        <v>519</v>
      </c>
      <c r="F78" s="12" t="s">
        <v>520</v>
      </c>
      <c r="G78" s="12" t="s">
        <v>521</v>
      </c>
      <c r="H78" s="12" t="s">
        <v>398</v>
      </c>
      <c r="I78" s="12"/>
      <c r="J78" s="337"/>
    </row>
    <row r="79" spans="1:13" ht="45" customHeight="1" x14ac:dyDescent="0.2">
      <c r="A79" s="335"/>
      <c r="B79" s="9" t="s">
        <v>522</v>
      </c>
      <c r="C79" s="9">
        <v>8260097947</v>
      </c>
      <c r="D79" s="9">
        <v>8260097941</v>
      </c>
      <c r="E79" s="9">
        <v>8260097944</v>
      </c>
      <c r="F79" s="9">
        <v>8260097937</v>
      </c>
      <c r="G79" s="9">
        <v>8260097933</v>
      </c>
      <c r="H79" s="9">
        <v>8260097953</v>
      </c>
      <c r="I79" s="9"/>
      <c r="J79" s="338"/>
    </row>
    <row r="80" spans="1:13" x14ac:dyDescent="0.2">
      <c r="A80" s="332">
        <v>46119</v>
      </c>
      <c r="B80" s="12" t="s">
        <v>448</v>
      </c>
      <c r="C80" s="12" t="s">
        <v>523</v>
      </c>
      <c r="D80" s="12" t="s">
        <v>524</v>
      </c>
      <c r="E80" s="12" t="s">
        <v>524</v>
      </c>
      <c r="F80" s="12" t="s">
        <v>525</v>
      </c>
      <c r="G80" s="12" t="s">
        <v>526</v>
      </c>
      <c r="H80" s="12" t="s">
        <v>527</v>
      </c>
      <c r="I80" s="12"/>
      <c r="J80" s="337"/>
    </row>
    <row r="81" spans="1:10" ht="45" customHeight="1" x14ac:dyDescent="0.2">
      <c r="A81" s="334"/>
      <c r="B81" s="9" t="s">
        <v>528</v>
      </c>
      <c r="C81" s="9">
        <v>8260098027</v>
      </c>
      <c r="D81" s="9">
        <v>8260098035</v>
      </c>
      <c r="E81" s="9">
        <v>8260098011</v>
      </c>
      <c r="F81" s="9">
        <v>8260098002</v>
      </c>
      <c r="G81" s="9">
        <v>8260098021</v>
      </c>
      <c r="H81" s="9">
        <v>8260098007</v>
      </c>
      <c r="I81" s="9"/>
      <c r="J81" s="338"/>
    </row>
    <row r="82" spans="1:10" x14ac:dyDescent="0.2">
      <c r="A82" s="332">
        <v>46120</v>
      </c>
      <c r="B82" s="16" t="s">
        <v>529</v>
      </c>
      <c r="C82" s="16" t="s">
        <v>530</v>
      </c>
      <c r="D82" s="16" t="s">
        <v>531</v>
      </c>
      <c r="E82" s="16" t="s">
        <v>531</v>
      </c>
      <c r="F82" s="16" t="s">
        <v>532</v>
      </c>
      <c r="G82" s="16" t="s">
        <v>533</v>
      </c>
      <c r="H82" s="16" t="s">
        <v>534</v>
      </c>
      <c r="I82" s="16"/>
      <c r="J82" s="337"/>
    </row>
    <row r="83" spans="1:10" ht="45" customHeight="1" x14ac:dyDescent="0.2">
      <c r="A83" s="334"/>
      <c r="B83" s="9" t="s">
        <v>535</v>
      </c>
      <c r="C83" s="9">
        <v>8260098092</v>
      </c>
      <c r="D83" s="9">
        <v>8260098079</v>
      </c>
      <c r="E83" s="9">
        <v>8260098078</v>
      </c>
      <c r="F83" s="9">
        <v>8260098095</v>
      </c>
      <c r="G83" s="9">
        <v>8260098087</v>
      </c>
      <c r="H83" s="9">
        <v>8260098084</v>
      </c>
      <c r="I83" s="9"/>
      <c r="J83" s="338"/>
    </row>
    <row r="84" spans="1:10" x14ac:dyDescent="0.2">
      <c r="A84" s="332">
        <v>46121</v>
      </c>
      <c r="B84" s="16" t="s">
        <v>536</v>
      </c>
      <c r="C84" s="16" t="s">
        <v>537</v>
      </c>
      <c r="D84" s="16" t="s">
        <v>538</v>
      </c>
      <c r="E84" s="16" t="s">
        <v>538</v>
      </c>
      <c r="F84" s="16" t="s">
        <v>539</v>
      </c>
      <c r="G84" s="16" t="s">
        <v>540</v>
      </c>
      <c r="H84" s="16" t="s">
        <v>539</v>
      </c>
      <c r="I84" s="16"/>
      <c r="J84" s="337"/>
    </row>
    <row r="85" spans="1:10" ht="45" customHeight="1" x14ac:dyDescent="0.2">
      <c r="A85" s="334"/>
      <c r="B85" s="9">
        <v>8260098159</v>
      </c>
      <c r="C85" s="9">
        <v>8260098151</v>
      </c>
      <c r="D85" s="9">
        <v>8260098179</v>
      </c>
      <c r="E85" s="9">
        <v>8260098150</v>
      </c>
      <c r="F85" s="9">
        <v>8260098180</v>
      </c>
      <c r="G85" s="9">
        <v>8260098164</v>
      </c>
      <c r="H85" s="9">
        <v>8260098156</v>
      </c>
      <c r="I85" s="9"/>
      <c r="J85" s="338"/>
    </row>
    <row r="86" spans="1:10" x14ac:dyDescent="0.2">
      <c r="A86" s="332">
        <v>46122</v>
      </c>
      <c r="B86" s="16" t="s">
        <v>541</v>
      </c>
      <c r="C86" s="16" t="s">
        <v>542</v>
      </c>
      <c r="D86" s="16" t="s">
        <v>543</v>
      </c>
      <c r="E86" s="16" t="s">
        <v>543</v>
      </c>
      <c r="F86" s="16" t="s">
        <v>544</v>
      </c>
      <c r="G86" s="16" t="s">
        <v>545</v>
      </c>
      <c r="H86" s="16" t="s">
        <v>546</v>
      </c>
      <c r="I86" s="16"/>
      <c r="J86" s="342" t="s">
        <v>547</v>
      </c>
    </row>
    <row r="87" spans="1:10" ht="45" customHeight="1" x14ac:dyDescent="0.2">
      <c r="A87" s="334"/>
      <c r="B87" s="9" t="s">
        <v>548</v>
      </c>
      <c r="C87" s="9">
        <v>8260098221</v>
      </c>
      <c r="D87" s="9">
        <v>8260098246</v>
      </c>
      <c r="E87" s="9">
        <v>8260098218</v>
      </c>
      <c r="F87" s="9">
        <v>8260098220</v>
      </c>
      <c r="G87" s="9">
        <v>8260098213</v>
      </c>
      <c r="H87" s="9">
        <v>8260098242</v>
      </c>
      <c r="I87" s="9"/>
      <c r="J87" s="343"/>
    </row>
  </sheetData>
  <mergeCells count="75">
    <mergeCell ref="A7:A8"/>
    <mergeCell ref="K7:K8"/>
    <mergeCell ref="A19:A21"/>
    <mergeCell ref="A3:K3"/>
    <mergeCell ref="A4:A6"/>
    <mergeCell ref="B4:G4"/>
    <mergeCell ref="H4:J4"/>
    <mergeCell ref="K4:K6"/>
    <mergeCell ref="A9:A10"/>
    <mergeCell ref="K9:K10"/>
    <mergeCell ref="A11:A12"/>
    <mergeCell ref="K11:K12"/>
    <mergeCell ref="A13:A14"/>
    <mergeCell ref="K13:K14"/>
    <mergeCell ref="A34:H34"/>
    <mergeCell ref="A15:A16"/>
    <mergeCell ref="K15:K16"/>
    <mergeCell ref="B19:B20"/>
    <mergeCell ref="C19:C20"/>
    <mergeCell ref="D19:D20"/>
    <mergeCell ref="A22:A23"/>
    <mergeCell ref="A24:A25"/>
    <mergeCell ref="A26:A27"/>
    <mergeCell ref="A28:A29"/>
    <mergeCell ref="A30:A31"/>
    <mergeCell ref="A35:A36"/>
    <mergeCell ref="H35:H36"/>
    <mergeCell ref="A37:A38"/>
    <mergeCell ref="H37:H38"/>
    <mergeCell ref="A39:A40"/>
    <mergeCell ref="H39:H40"/>
    <mergeCell ref="A53:A54"/>
    <mergeCell ref="K53:K54"/>
    <mergeCell ref="A41:A42"/>
    <mergeCell ref="H41:H42"/>
    <mergeCell ref="A43:A44"/>
    <mergeCell ref="H43:H44"/>
    <mergeCell ref="A45:A46"/>
    <mergeCell ref="H45:H46"/>
    <mergeCell ref="A48:K48"/>
    <mergeCell ref="A49:A50"/>
    <mergeCell ref="K49:K50"/>
    <mergeCell ref="A51:A52"/>
    <mergeCell ref="K51:K52"/>
    <mergeCell ref="A55:A56"/>
    <mergeCell ref="K55:K56"/>
    <mergeCell ref="A57:A58"/>
    <mergeCell ref="K57:K58"/>
    <mergeCell ref="A59:A60"/>
    <mergeCell ref="K59:K60"/>
    <mergeCell ref="A62:A63"/>
    <mergeCell ref="K62:K63"/>
    <mergeCell ref="A64:A65"/>
    <mergeCell ref="K64:K65"/>
    <mergeCell ref="A66:A67"/>
    <mergeCell ref="K66:K67"/>
    <mergeCell ref="A80:A81"/>
    <mergeCell ref="J80:J81"/>
    <mergeCell ref="A68:A69"/>
    <mergeCell ref="K68:K69"/>
    <mergeCell ref="A70:A71"/>
    <mergeCell ref="K70:K71"/>
    <mergeCell ref="A72:A73"/>
    <mergeCell ref="K72:K73"/>
    <mergeCell ref="A75:J75"/>
    <mergeCell ref="A76:A77"/>
    <mergeCell ref="J76:J77"/>
    <mergeCell ref="A78:A79"/>
    <mergeCell ref="J78:J79"/>
    <mergeCell ref="A82:A83"/>
    <mergeCell ref="J82:J83"/>
    <mergeCell ref="A84:A85"/>
    <mergeCell ref="J84:J85"/>
    <mergeCell ref="A86:A87"/>
    <mergeCell ref="J86:J8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330F-3C37-4C98-9B78-E835B31995EE}">
  <dimension ref="A1:H47"/>
  <sheetViews>
    <sheetView workbookViewId="0">
      <selection activeCell="G5" sqref="G4:G5"/>
    </sheetView>
  </sheetViews>
  <sheetFormatPr defaultRowHeight="15" x14ac:dyDescent="0.2"/>
  <cols>
    <col min="1" max="3" width="15.6015625" customWidth="1"/>
    <col min="4" max="4" width="21.65625" bestFit="1" customWidth="1"/>
    <col min="5" max="5" width="15.6015625" customWidth="1"/>
    <col min="6" max="6" width="21.38671875" style="3" customWidth="1"/>
    <col min="7" max="7" width="15.6015625" customWidth="1"/>
    <col min="8" max="8" width="22.05859375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32">
        <v>46125</v>
      </c>
      <c r="B4" s="8" t="s">
        <v>9</v>
      </c>
      <c r="C4" s="8" t="s">
        <v>301</v>
      </c>
      <c r="D4" s="8" t="s">
        <v>549</v>
      </c>
      <c r="E4" s="8" t="s">
        <v>11</v>
      </c>
      <c r="F4" s="49">
        <v>0.36041666666666666</v>
      </c>
      <c r="G4" s="48" t="s">
        <v>18</v>
      </c>
      <c r="H4" s="8"/>
    </row>
    <row r="5" spans="1:8" x14ac:dyDescent="0.2">
      <c r="A5" s="333"/>
      <c r="B5" s="8" t="s">
        <v>14</v>
      </c>
      <c r="C5" s="8" t="s">
        <v>550</v>
      </c>
      <c r="D5" s="8" t="s">
        <v>551</v>
      </c>
      <c r="E5" s="8" t="s">
        <v>16</v>
      </c>
      <c r="F5" s="49">
        <v>0.56597222222222221</v>
      </c>
      <c r="G5" s="47" t="s">
        <v>13</v>
      </c>
      <c r="H5" s="10"/>
    </row>
    <row r="6" spans="1:8" x14ac:dyDescent="0.2">
      <c r="A6" s="333"/>
      <c r="B6" s="8" t="s">
        <v>20</v>
      </c>
      <c r="C6" s="10"/>
      <c r="D6" s="10"/>
      <c r="E6" s="8" t="s">
        <v>21</v>
      </c>
      <c r="F6" s="7"/>
      <c r="G6" s="10"/>
      <c r="H6" s="10"/>
    </row>
    <row r="7" spans="1:8" x14ac:dyDescent="0.2">
      <c r="A7" s="333"/>
      <c r="B7" s="8" t="s">
        <v>22</v>
      </c>
      <c r="C7" s="8" t="s">
        <v>326</v>
      </c>
      <c r="D7" s="8" t="s">
        <v>552</v>
      </c>
      <c r="E7" s="8" t="s">
        <v>24</v>
      </c>
      <c r="F7" s="49">
        <v>0.6694444444444444</v>
      </c>
      <c r="G7" s="48" t="s">
        <v>18</v>
      </c>
      <c r="H7" s="10"/>
    </row>
    <row r="8" spans="1:8" x14ac:dyDescent="0.2">
      <c r="A8" s="333"/>
      <c r="B8" s="8" t="s">
        <v>26</v>
      </c>
      <c r="C8" s="8" t="s">
        <v>553</v>
      </c>
      <c r="D8" s="8" t="s">
        <v>554</v>
      </c>
      <c r="E8" s="8" t="s">
        <v>28</v>
      </c>
      <c r="F8" s="49"/>
      <c r="G8" s="78"/>
      <c r="H8" s="10"/>
    </row>
    <row r="9" spans="1:8" x14ac:dyDescent="0.2">
      <c r="A9" s="333"/>
      <c r="B9" s="8" t="s">
        <v>26</v>
      </c>
      <c r="C9" s="8" t="s">
        <v>318</v>
      </c>
      <c r="D9" s="8" t="s">
        <v>310</v>
      </c>
      <c r="E9" s="8" t="s">
        <v>28</v>
      </c>
      <c r="F9" s="49">
        <v>0.62847222222222221</v>
      </c>
      <c r="G9" s="48" t="s">
        <v>18</v>
      </c>
      <c r="H9" s="10"/>
    </row>
    <row r="10" spans="1:8" x14ac:dyDescent="0.2">
      <c r="A10" s="333"/>
      <c r="B10" s="8" t="s">
        <v>26</v>
      </c>
      <c r="C10" s="8"/>
      <c r="D10" s="8"/>
      <c r="E10" s="8" t="s">
        <v>28</v>
      </c>
      <c r="F10" s="49"/>
      <c r="G10" s="79"/>
      <c r="H10" s="10"/>
    </row>
    <row r="11" spans="1:8" x14ac:dyDescent="0.2">
      <c r="A11" s="334"/>
      <c r="B11" s="8" t="s">
        <v>26</v>
      </c>
      <c r="C11" s="8"/>
      <c r="D11" s="8"/>
      <c r="E11" s="8" t="s">
        <v>28</v>
      </c>
      <c r="F11" s="49"/>
      <c r="G11" s="78"/>
      <c r="H11" s="10"/>
    </row>
    <row r="13" spans="1:8" x14ac:dyDescent="0.2">
      <c r="A13" s="332">
        <v>46126</v>
      </c>
      <c r="B13" s="8" t="s">
        <v>9</v>
      </c>
      <c r="C13" s="8" t="s">
        <v>301</v>
      </c>
      <c r="D13" s="8" t="s">
        <v>555</v>
      </c>
      <c r="E13" s="8" t="s">
        <v>11</v>
      </c>
      <c r="F13" s="49">
        <v>0.4152777777777778</v>
      </c>
      <c r="G13" s="48" t="s">
        <v>18</v>
      </c>
      <c r="H13" s="8"/>
    </row>
    <row r="14" spans="1:8" x14ac:dyDescent="0.2">
      <c r="A14" s="333"/>
      <c r="B14" s="8" t="s">
        <v>315</v>
      </c>
      <c r="C14" s="8" t="s">
        <v>556</v>
      </c>
      <c r="D14" s="8" t="s">
        <v>557</v>
      </c>
      <c r="E14" s="8" t="s">
        <v>11</v>
      </c>
      <c r="F14" s="49">
        <v>0.44583333333333336</v>
      </c>
      <c r="G14" s="47" t="s">
        <v>13</v>
      </c>
      <c r="H14" s="8"/>
    </row>
    <row r="15" spans="1:8" x14ac:dyDescent="0.2">
      <c r="A15" s="333"/>
      <c r="B15" s="8" t="s">
        <v>14</v>
      </c>
      <c r="C15" s="8" t="s">
        <v>320</v>
      </c>
      <c r="D15" s="8" t="s">
        <v>558</v>
      </c>
      <c r="E15" s="8" t="s">
        <v>16</v>
      </c>
      <c r="F15" s="49">
        <v>0.53402777777777777</v>
      </c>
      <c r="G15" s="48" t="s">
        <v>18</v>
      </c>
      <c r="H15" s="10"/>
    </row>
    <row r="16" spans="1:8" x14ac:dyDescent="0.2">
      <c r="A16" s="333"/>
      <c r="B16" s="8" t="s">
        <v>20</v>
      </c>
      <c r="C16" s="10"/>
      <c r="D16" s="10"/>
      <c r="E16" s="8" t="s">
        <v>21</v>
      </c>
      <c r="F16" s="7"/>
      <c r="G16" s="10"/>
      <c r="H16" s="10"/>
    </row>
    <row r="17" spans="1:8" x14ac:dyDescent="0.2">
      <c r="A17" s="333"/>
      <c r="B17" s="8" t="s">
        <v>22</v>
      </c>
      <c r="C17" s="8" t="s">
        <v>305</v>
      </c>
      <c r="D17" s="8" t="s">
        <v>306</v>
      </c>
      <c r="E17" s="8" t="s">
        <v>24</v>
      </c>
      <c r="F17" s="49">
        <v>0.72847222222222219</v>
      </c>
      <c r="G17" s="47" t="s">
        <v>13</v>
      </c>
      <c r="H17" s="10"/>
    </row>
    <row r="18" spans="1:8" x14ac:dyDescent="0.2">
      <c r="A18" s="333"/>
      <c r="B18" s="8" t="s">
        <v>26</v>
      </c>
      <c r="C18" s="8" t="s">
        <v>550</v>
      </c>
      <c r="D18" s="8" t="s">
        <v>559</v>
      </c>
      <c r="E18" s="8" t="s">
        <v>28</v>
      </c>
      <c r="F18" s="49">
        <v>0.63055555555555554</v>
      </c>
      <c r="G18" s="48" t="s">
        <v>18</v>
      </c>
      <c r="H18" s="10"/>
    </row>
    <row r="19" spans="1:8" x14ac:dyDescent="0.2">
      <c r="A19" s="333"/>
      <c r="B19" s="8" t="s">
        <v>26</v>
      </c>
      <c r="C19" s="8"/>
      <c r="D19" s="8"/>
      <c r="E19" s="8" t="s">
        <v>28</v>
      </c>
      <c r="F19" s="49"/>
      <c r="G19" s="79"/>
      <c r="H19" s="10"/>
    </row>
    <row r="20" spans="1:8" x14ac:dyDescent="0.2">
      <c r="A20" s="334"/>
      <c r="B20" s="8" t="s">
        <v>26</v>
      </c>
      <c r="C20" s="8"/>
      <c r="D20" s="8"/>
      <c r="E20" s="8" t="s">
        <v>28</v>
      </c>
      <c r="F20" s="49"/>
      <c r="G20" s="79"/>
      <c r="H20" s="10"/>
    </row>
    <row r="22" spans="1:8" x14ac:dyDescent="0.2">
      <c r="A22" s="332">
        <v>46127</v>
      </c>
      <c r="B22" s="8" t="s">
        <v>9</v>
      </c>
      <c r="C22" s="8" t="s">
        <v>320</v>
      </c>
      <c r="D22" s="8" t="s">
        <v>558</v>
      </c>
      <c r="E22" s="8" t="s">
        <v>11</v>
      </c>
      <c r="F22" s="49">
        <v>0.38055555555555554</v>
      </c>
      <c r="G22" s="48" t="s">
        <v>18</v>
      </c>
      <c r="H22" s="8"/>
    </row>
    <row r="23" spans="1:8" x14ac:dyDescent="0.2">
      <c r="A23" s="333"/>
      <c r="B23" s="8" t="s">
        <v>14</v>
      </c>
      <c r="C23" s="8" t="s">
        <v>305</v>
      </c>
      <c r="D23" s="8" t="s">
        <v>306</v>
      </c>
      <c r="E23" s="8" t="s">
        <v>16</v>
      </c>
      <c r="F23" s="49">
        <v>0.61597222222222225</v>
      </c>
      <c r="G23" s="47" t="s">
        <v>13</v>
      </c>
      <c r="H23" s="10"/>
    </row>
    <row r="24" spans="1:8" x14ac:dyDescent="0.2">
      <c r="A24" s="333"/>
      <c r="B24" s="8" t="s">
        <v>20</v>
      </c>
      <c r="C24" s="8" t="s">
        <v>326</v>
      </c>
      <c r="D24" s="8" t="s">
        <v>560</v>
      </c>
      <c r="E24" s="8" t="s">
        <v>21</v>
      </c>
      <c r="F24" s="49">
        <v>0.67222222222222228</v>
      </c>
      <c r="G24" s="47" t="s">
        <v>13</v>
      </c>
      <c r="H24" s="10"/>
    </row>
    <row r="25" spans="1:8" x14ac:dyDescent="0.2">
      <c r="A25" s="333"/>
      <c r="B25" s="8" t="s">
        <v>22</v>
      </c>
      <c r="C25" s="8" t="s">
        <v>326</v>
      </c>
      <c r="D25" s="8" t="s">
        <v>560</v>
      </c>
      <c r="E25" s="8" t="s">
        <v>24</v>
      </c>
      <c r="F25" s="49">
        <v>0.67222222222222228</v>
      </c>
      <c r="G25" s="48" t="s">
        <v>18</v>
      </c>
      <c r="H25" s="10"/>
    </row>
    <row r="26" spans="1:8" x14ac:dyDescent="0.2">
      <c r="A26" s="333"/>
      <c r="B26" s="8" t="s">
        <v>26</v>
      </c>
      <c r="C26" s="8" t="s">
        <v>336</v>
      </c>
      <c r="D26" s="8" t="s">
        <v>561</v>
      </c>
      <c r="E26" s="8" t="s">
        <v>28</v>
      </c>
      <c r="F26" s="49">
        <v>0.70277777777777772</v>
      </c>
      <c r="G26" s="47" t="s">
        <v>13</v>
      </c>
      <c r="H26" s="10"/>
    </row>
    <row r="27" spans="1:8" x14ac:dyDescent="0.2">
      <c r="A27" s="333"/>
      <c r="B27" s="8" t="s">
        <v>26</v>
      </c>
      <c r="C27" s="8"/>
      <c r="D27" s="8"/>
      <c r="E27" s="8" t="s">
        <v>28</v>
      </c>
      <c r="F27" s="49"/>
      <c r="G27" s="79"/>
      <c r="H27" s="10"/>
    </row>
    <row r="28" spans="1:8" x14ac:dyDescent="0.2">
      <c r="A28" s="333"/>
      <c r="B28" s="8" t="s">
        <v>26</v>
      </c>
      <c r="C28" s="8"/>
      <c r="D28" s="8"/>
      <c r="E28" s="8" t="s">
        <v>28</v>
      </c>
      <c r="F28" s="49"/>
      <c r="G28" s="79"/>
      <c r="H28" s="10"/>
    </row>
    <row r="30" spans="1:8" x14ac:dyDescent="0.2">
      <c r="A30" s="332">
        <v>46128</v>
      </c>
      <c r="B30" s="8" t="s">
        <v>9</v>
      </c>
      <c r="C30" s="8" t="s">
        <v>326</v>
      </c>
      <c r="D30" s="8" t="s">
        <v>560</v>
      </c>
      <c r="E30" s="8" t="s">
        <v>11</v>
      </c>
      <c r="F30" s="49">
        <v>0.42499999999999999</v>
      </c>
      <c r="G30" s="47" t="s">
        <v>13</v>
      </c>
      <c r="H30" s="8"/>
    </row>
    <row r="31" spans="1:8" x14ac:dyDescent="0.2">
      <c r="A31" s="333"/>
      <c r="B31" s="8" t="s">
        <v>9</v>
      </c>
      <c r="C31" s="8" t="s">
        <v>301</v>
      </c>
      <c r="D31" s="8" t="s">
        <v>562</v>
      </c>
      <c r="E31" s="8" t="s">
        <v>11</v>
      </c>
      <c r="F31" s="49">
        <v>0.5131944444444444</v>
      </c>
      <c r="G31" s="47" t="s">
        <v>13</v>
      </c>
      <c r="H31" s="8"/>
    </row>
    <row r="32" spans="1:8" x14ac:dyDescent="0.2">
      <c r="A32" s="333"/>
      <c r="B32" s="8" t="s">
        <v>14</v>
      </c>
      <c r="C32" s="8" t="s">
        <v>563</v>
      </c>
      <c r="D32" s="8" t="s">
        <v>564</v>
      </c>
      <c r="E32" s="8" t="s">
        <v>16</v>
      </c>
      <c r="F32" s="49">
        <v>0.54722222222222228</v>
      </c>
      <c r="G32" s="47" t="s">
        <v>13</v>
      </c>
      <c r="H32" s="8"/>
    </row>
    <row r="33" spans="1:8" x14ac:dyDescent="0.2">
      <c r="A33" s="333"/>
      <c r="B33" s="8" t="s">
        <v>20</v>
      </c>
      <c r="C33" s="8" t="s">
        <v>565</v>
      </c>
      <c r="D33" s="8" t="s">
        <v>566</v>
      </c>
      <c r="E33" s="8" t="s">
        <v>21</v>
      </c>
      <c r="F33" s="49">
        <v>0.70694444444444449</v>
      </c>
      <c r="G33" s="47" t="s">
        <v>13</v>
      </c>
      <c r="H33" s="8"/>
    </row>
    <row r="34" spans="1:8" x14ac:dyDescent="0.2">
      <c r="A34" s="333"/>
      <c r="B34" s="8" t="s">
        <v>22</v>
      </c>
      <c r="C34" s="8" t="s">
        <v>305</v>
      </c>
      <c r="D34" s="8" t="s">
        <v>306</v>
      </c>
      <c r="E34" s="8" t="s">
        <v>24</v>
      </c>
      <c r="F34" s="49">
        <v>0.73124999999999996</v>
      </c>
      <c r="G34" s="47" t="s">
        <v>13</v>
      </c>
      <c r="H34" s="8"/>
    </row>
    <row r="35" spans="1:8" x14ac:dyDescent="0.2">
      <c r="A35" s="333"/>
      <c r="B35" s="8" t="s">
        <v>26</v>
      </c>
      <c r="C35" s="8" t="s">
        <v>336</v>
      </c>
      <c r="D35" s="8" t="s">
        <v>561</v>
      </c>
      <c r="E35" s="8" t="s">
        <v>28</v>
      </c>
      <c r="F35" s="49">
        <v>0.66736111111111107</v>
      </c>
      <c r="G35" s="47" t="s">
        <v>13</v>
      </c>
      <c r="H35" s="8"/>
    </row>
    <row r="36" spans="1:8" x14ac:dyDescent="0.2">
      <c r="A36" s="333"/>
      <c r="B36" s="8" t="s">
        <v>26</v>
      </c>
      <c r="C36" s="8"/>
      <c r="D36" s="8"/>
      <c r="E36" s="8" t="s">
        <v>28</v>
      </c>
      <c r="F36" s="7"/>
      <c r="G36" s="8"/>
      <c r="H36" s="8"/>
    </row>
    <row r="37" spans="1:8" x14ac:dyDescent="0.2">
      <c r="A37" s="333"/>
      <c r="B37" s="8" t="s">
        <v>26</v>
      </c>
      <c r="C37" s="8"/>
      <c r="D37" s="8"/>
      <c r="E37" s="8" t="s">
        <v>28</v>
      </c>
      <c r="F37" s="7"/>
      <c r="G37" s="8"/>
      <c r="H37" s="8"/>
    </row>
    <row r="38" spans="1:8" x14ac:dyDescent="0.2">
      <c r="A38" s="334"/>
      <c r="B38" s="8" t="s">
        <v>26</v>
      </c>
      <c r="C38" s="8"/>
      <c r="D38" s="8"/>
      <c r="E38" s="8" t="s">
        <v>28</v>
      </c>
      <c r="F38" s="7"/>
      <c r="G38" s="8"/>
      <c r="H38" s="8"/>
    </row>
    <row r="40" spans="1:8" x14ac:dyDescent="0.2">
      <c r="A40" s="332">
        <v>46129</v>
      </c>
      <c r="B40" s="8" t="s">
        <v>9</v>
      </c>
      <c r="C40" s="8" t="s">
        <v>556</v>
      </c>
      <c r="D40" s="8" t="s">
        <v>567</v>
      </c>
      <c r="E40" s="8" t="s">
        <v>11</v>
      </c>
      <c r="F40" s="49">
        <v>0.43611111111111112</v>
      </c>
      <c r="G40" s="47" t="s">
        <v>13</v>
      </c>
      <c r="H40" s="8"/>
    </row>
    <row r="41" spans="1:8" x14ac:dyDescent="0.2">
      <c r="A41" s="333"/>
      <c r="B41" s="8" t="s">
        <v>14</v>
      </c>
      <c r="C41" s="8" t="s">
        <v>316</v>
      </c>
      <c r="D41" s="8" t="s">
        <v>568</v>
      </c>
      <c r="E41" s="8" t="s">
        <v>16</v>
      </c>
      <c r="F41" s="49">
        <v>0.59791666666666665</v>
      </c>
      <c r="G41" s="47" t="s">
        <v>13</v>
      </c>
      <c r="H41" s="10"/>
    </row>
    <row r="42" spans="1:8" x14ac:dyDescent="0.2">
      <c r="A42" s="333"/>
      <c r="B42" s="8" t="s">
        <v>20</v>
      </c>
      <c r="C42" s="8"/>
      <c r="D42" s="8"/>
      <c r="E42" s="8" t="s">
        <v>21</v>
      </c>
      <c r="F42" s="49"/>
      <c r="G42" s="78"/>
      <c r="H42" s="10"/>
    </row>
    <row r="43" spans="1:8" x14ac:dyDescent="0.2">
      <c r="A43" s="333"/>
      <c r="B43" s="8" t="s">
        <v>22</v>
      </c>
      <c r="C43" s="8" t="s">
        <v>326</v>
      </c>
      <c r="D43" s="8" t="s">
        <v>569</v>
      </c>
      <c r="E43" s="8" t="s">
        <v>24</v>
      </c>
      <c r="F43" s="49">
        <v>0.66319444444444442</v>
      </c>
      <c r="G43" s="48" t="s">
        <v>18</v>
      </c>
      <c r="H43" s="10"/>
    </row>
    <row r="44" spans="1:8" x14ac:dyDescent="0.2">
      <c r="A44" s="333"/>
      <c r="B44" s="8" t="s">
        <v>26</v>
      </c>
      <c r="C44" s="8" t="s">
        <v>570</v>
      </c>
      <c r="D44" s="8" t="s">
        <v>571</v>
      </c>
      <c r="E44" s="8" t="s">
        <v>28</v>
      </c>
      <c r="F44" s="49">
        <v>0.65694444444444444</v>
      </c>
      <c r="G44" s="48" t="s">
        <v>18</v>
      </c>
      <c r="H44" s="10"/>
    </row>
    <row r="45" spans="1:8" x14ac:dyDescent="0.2">
      <c r="A45" s="333"/>
      <c r="B45" s="8" t="s">
        <v>26</v>
      </c>
      <c r="C45" s="8" t="s">
        <v>311</v>
      </c>
      <c r="D45" s="8" t="s">
        <v>312</v>
      </c>
      <c r="E45" s="8" t="s">
        <v>28</v>
      </c>
      <c r="F45" s="49">
        <v>0.67361111111111116</v>
      </c>
      <c r="G45" s="47" t="s">
        <v>13</v>
      </c>
      <c r="H45" s="10"/>
    </row>
    <row r="46" spans="1:8" x14ac:dyDescent="0.2">
      <c r="A46" s="333"/>
      <c r="B46" s="8" t="s">
        <v>26</v>
      </c>
      <c r="C46" s="8"/>
      <c r="D46" s="8"/>
      <c r="E46" s="8" t="s">
        <v>28</v>
      </c>
      <c r="F46" s="7"/>
      <c r="G46" s="10"/>
      <c r="H46" s="10"/>
    </row>
    <row r="47" spans="1:8" x14ac:dyDescent="0.2">
      <c r="A47" s="334"/>
      <c r="B47" s="8" t="s">
        <v>26</v>
      </c>
      <c r="C47" s="8"/>
      <c r="D47" s="8"/>
      <c r="E47" s="8" t="s">
        <v>28</v>
      </c>
      <c r="F47" s="7"/>
      <c r="G47" s="10"/>
      <c r="H47" s="10"/>
    </row>
  </sheetData>
  <mergeCells count="5">
    <mergeCell ref="A4:A11"/>
    <mergeCell ref="A13:A20"/>
    <mergeCell ref="A22:A28"/>
    <mergeCell ref="A30:A38"/>
    <mergeCell ref="A40:A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F25D-FAA0-4231-9250-3BD4F42A9F95}">
  <dimension ref="A1:O87"/>
  <sheetViews>
    <sheetView topLeftCell="E69" workbookViewId="0">
      <selection activeCell="K15" sqref="K15:L16"/>
    </sheetView>
  </sheetViews>
  <sheetFormatPr defaultRowHeight="15" x14ac:dyDescent="0.2"/>
  <cols>
    <col min="1" max="1" width="10.492187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35">
        <v>46125</v>
      </c>
      <c r="B7" s="53" t="s">
        <v>572</v>
      </c>
      <c r="C7" s="53" t="s">
        <v>573</v>
      </c>
      <c r="D7" s="53" t="s">
        <v>573</v>
      </c>
      <c r="E7" s="53"/>
      <c r="F7" s="53"/>
      <c r="G7" s="53"/>
      <c r="H7" s="74" t="s">
        <v>574</v>
      </c>
      <c r="I7" s="56" t="s">
        <v>575</v>
      </c>
      <c r="J7" s="56" t="s">
        <v>576</v>
      </c>
      <c r="K7" s="364"/>
      <c r="L7" s="364"/>
    </row>
    <row r="8" spans="1:12" ht="41.25" x14ac:dyDescent="0.2">
      <c r="A8" s="335"/>
      <c r="B8" s="9" t="s">
        <v>577</v>
      </c>
      <c r="C8" s="9">
        <v>8260098255</v>
      </c>
      <c r="D8" s="9">
        <v>8260098258</v>
      </c>
      <c r="E8" s="9"/>
      <c r="F8" s="9"/>
      <c r="G8" s="9"/>
      <c r="H8" s="9">
        <v>8260098314</v>
      </c>
      <c r="I8" s="9">
        <v>8260098313</v>
      </c>
      <c r="J8" s="9">
        <v>8260098312</v>
      </c>
      <c r="K8" s="364"/>
      <c r="L8" s="364"/>
    </row>
    <row r="9" spans="1:12" x14ac:dyDescent="0.2">
      <c r="A9" s="336">
        <v>46126</v>
      </c>
      <c r="B9" s="53" t="s">
        <v>578</v>
      </c>
      <c r="C9" s="53" t="s">
        <v>579</v>
      </c>
      <c r="D9" s="53" t="s">
        <v>579</v>
      </c>
      <c r="E9" s="61" t="s">
        <v>580</v>
      </c>
      <c r="F9" s="61" t="s">
        <v>581</v>
      </c>
      <c r="G9" s="16"/>
      <c r="H9" s="63" t="s">
        <v>582</v>
      </c>
      <c r="I9" s="63" t="s">
        <v>583</v>
      </c>
      <c r="J9" s="84" t="s">
        <v>584</v>
      </c>
      <c r="K9" s="365"/>
      <c r="L9" s="365"/>
    </row>
    <row r="10" spans="1:12" ht="54.75" x14ac:dyDescent="0.2">
      <c r="A10" s="336"/>
      <c r="B10" s="9" t="s">
        <v>585</v>
      </c>
      <c r="C10" s="9">
        <v>8260098320</v>
      </c>
      <c r="D10" s="9">
        <v>8260098317</v>
      </c>
      <c r="E10" s="9">
        <v>8260098321</v>
      </c>
      <c r="F10" s="9">
        <v>8260098322</v>
      </c>
      <c r="G10" s="9"/>
      <c r="H10" s="9">
        <v>8260098371</v>
      </c>
      <c r="I10" s="9">
        <v>8260098373</v>
      </c>
      <c r="J10" s="9">
        <v>8260098372</v>
      </c>
      <c r="K10" s="365"/>
      <c r="L10" s="365"/>
    </row>
    <row r="11" spans="1:12" ht="15" customHeight="1" x14ac:dyDescent="0.2">
      <c r="A11" s="336">
        <v>46127</v>
      </c>
      <c r="B11" s="85" t="s">
        <v>586</v>
      </c>
      <c r="C11" s="51" t="s">
        <v>587</v>
      </c>
      <c r="D11" s="51" t="s">
        <v>588</v>
      </c>
      <c r="E11" s="61"/>
      <c r="F11" s="66"/>
      <c r="G11" s="66"/>
      <c r="H11" s="86"/>
      <c r="I11" s="71"/>
      <c r="J11" s="71"/>
      <c r="K11" s="278" t="s">
        <v>589</v>
      </c>
      <c r="L11" s="278"/>
    </row>
    <row r="12" spans="1:12" ht="41.25" x14ac:dyDescent="0.2">
      <c r="A12" s="336"/>
      <c r="B12" s="9" t="s">
        <v>590</v>
      </c>
      <c r="C12" s="9">
        <v>8260098380</v>
      </c>
      <c r="D12" s="9" t="s">
        <v>591</v>
      </c>
      <c r="E12" s="9"/>
      <c r="F12" s="9"/>
      <c r="G12" s="9"/>
      <c r="H12" s="9">
        <v>8260098441</v>
      </c>
      <c r="I12" s="9">
        <v>8260098440</v>
      </c>
      <c r="J12" s="9">
        <v>8260098439</v>
      </c>
      <c r="K12" s="278"/>
      <c r="L12" s="278"/>
    </row>
    <row r="13" spans="1:12" x14ac:dyDescent="0.2">
      <c r="A13" s="336">
        <v>46128</v>
      </c>
      <c r="B13" s="51" t="s">
        <v>592</v>
      </c>
      <c r="C13" s="53" t="s">
        <v>593</v>
      </c>
      <c r="D13" s="53" t="s">
        <v>593</v>
      </c>
      <c r="E13" s="17" t="s">
        <v>594</v>
      </c>
      <c r="F13" s="80" t="s">
        <v>595</v>
      </c>
      <c r="G13" s="66"/>
      <c r="H13" s="86" t="s">
        <v>596</v>
      </c>
      <c r="I13" s="71" t="s">
        <v>597</v>
      </c>
      <c r="J13" s="71" t="s">
        <v>598</v>
      </c>
      <c r="K13" s="278" t="s">
        <v>599</v>
      </c>
      <c r="L13" s="278"/>
    </row>
    <row r="14" spans="1:12" ht="45" customHeight="1" x14ac:dyDescent="0.2">
      <c r="A14" s="336"/>
      <c r="B14" s="9" t="s">
        <v>600</v>
      </c>
      <c r="C14" s="9" t="s">
        <v>601</v>
      </c>
      <c r="D14" s="9">
        <v>8260098459</v>
      </c>
      <c r="E14" s="9" t="s">
        <v>602</v>
      </c>
      <c r="F14" s="7">
        <v>8260098458</v>
      </c>
      <c r="G14" s="7"/>
      <c r="H14" s="7">
        <v>8260098518</v>
      </c>
      <c r="I14" s="9">
        <v>8260098520</v>
      </c>
      <c r="J14" s="7">
        <v>8260098519</v>
      </c>
      <c r="K14" s="278"/>
      <c r="L14" s="278"/>
    </row>
    <row r="15" spans="1:12" ht="15" customHeight="1" x14ac:dyDescent="0.2">
      <c r="A15" s="336">
        <v>46129</v>
      </c>
      <c r="B15" s="47" t="s">
        <v>603</v>
      </c>
      <c r="C15" s="47" t="s">
        <v>604</v>
      </c>
      <c r="D15" s="47" t="s">
        <v>604</v>
      </c>
      <c r="E15" s="12"/>
      <c r="F15" s="12"/>
      <c r="G15" s="12"/>
      <c r="H15" s="66" t="s">
        <v>605</v>
      </c>
      <c r="I15" s="66" t="s">
        <v>606</v>
      </c>
      <c r="J15" s="66" t="s">
        <v>607</v>
      </c>
      <c r="K15" s="278" t="s">
        <v>608</v>
      </c>
      <c r="L15" s="278"/>
    </row>
    <row r="16" spans="1:12" ht="45" customHeight="1" x14ac:dyDescent="0.2">
      <c r="A16" s="336"/>
      <c r="B16" s="9" t="s">
        <v>609</v>
      </c>
      <c r="C16" s="9">
        <v>8260098526</v>
      </c>
      <c r="D16" s="9">
        <v>8260098527</v>
      </c>
      <c r="E16" s="9"/>
      <c r="F16" s="9"/>
      <c r="G16" s="9"/>
      <c r="H16" s="7">
        <v>8260098591</v>
      </c>
      <c r="I16" s="9">
        <v>8260098590</v>
      </c>
      <c r="J16" s="7">
        <v>8260098589</v>
      </c>
      <c r="K16" s="278"/>
      <c r="L16" s="278"/>
    </row>
    <row r="17" spans="1:7" x14ac:dyDescent="0.2">
      <c r="C17" s="2"/>
      <c r="D17" s="2"/>
      <c r="E17" s="2"/>
      <c r="F17" s="2"/>
      <c r="G17" s="2"/>
    </row>
    <row r="18" spans="1:7" x14ac:dyDescent="0.2">
      <c r="C18" s="2"/>
      <c r="D18" s="2"/>
      <c r="E18" s="2"/>
      <c r="F18" s="2"/>
      <c r="G18" s="2"/>
    </row>
    <row r="19" spans="1:7" ht="15" customHeight="1" x14ac:dyDescent="0.2">
      <c r="A19" s="280" t="s">
        <v>34</v>
      </c>
      <c r="B19" s="286" t="s">
        <v>379</v>
      </c>
      <c r="C19" s="286" t="s">
        <v>83</v>
      </c>
      <c r="D19" s="286" t="s">
        <v>84</v>
      </c>
      <c r="E19" s="2"/>
      <c r="F19" s="2"/>
      <c r="G19" s="2"/>
    </row>
    <row r="20" spans="1:7" x14ac:dyDescent="0.2">
      <c r="A20" s="280"/>
      <c r="B20" s="286"/>
      <c r="C20" s="286"/>
      <c r="D20" s="286"/>
      <c r="E20" s="2"/>
      <c r="F20" s="2"/>
      <c r="G20" s="2"/>
    </row>
    <row r="21" spans="1:7" x14ac:dyDescent="0.2">
      <c r="A21" s="280"/>
      <c r="B21" s="14" t="s">
        <v>380</v>
      </c>
      <c r="C21" s="15" t="s">
        <v>381</v>
      </c>
      <c r="D21" s="15" t="s">
        <v>382</v>
      </c>
      <c r="E21" s="2"/>
      <c r="F21" s="2"/>
      <c r="G21" s="2"/>
    </row>
    <row r="22" spans="1:7" s="6" customFormat="1" ht="20.100000000000001" customHeight="1" x14ac:dyDescent="0.2">
      <c r="A22" s="335">
        <v>46125</v>
      </c>
      <c r="B22" s="53" t="s">
        <v>610</v>
      </c>
      <c r="C22" s="53"/>
      <c r="D22" s="53"/>
      <c r="E22" s="3"/>
      <c r="F22" s="3"/>
      <c r="G22" s="3"/>
    </row>
    <row r="23" spans="1:7" s="6" customFormat="1" ht="108" x14ac:dyDescent="0.2">
      <c r="A23" s="335"/>
      <c r="B23" s="9" t="s">
        <v>611</v>
      </c>
      <c r="C23" s="9"/>
      <c r="D23" s="7"/>
      <c r="E23" s="3"/>
      <c r="F23" s="3"/>
      <c r="G23" s="3"/>
    </row>
    <row r="24" spans="1:7" s="6" customFormat="1" ht="20.100000000000001" customHeight="1" x14ac:dyDescent="0.2">
      <c r="A24" s="336">
        <v>46126</v>
      </c>
      <c r="B24" s="53" t="s">
        <v>612</v>
      </c>
      <c r="C24" s="11"/>
      <c r="D24" s="11"/>
      <c r="E24" s="3"/>
      <c r="F24" s="3"/>
      <c r="G24" s="3"/>
    </row>
    <row r="25" spans="1:7" s="6" customFormat="1" ht="75" customHeight="1" x14ac:dyDescent="0.2">
      <c r="A25" s="336"/>
      <c r="B25" s="9" t="s">
        <v>613</v>
      </c>
      <c r="C25" s="7"/>
      <c r="D25" s="7"/>
      <c r="E25" s="3"/>
      <c r="F25" s="3"/>
      <c r="G25" s="3"/>
    </row>
    <row r="26" spans="1:7" s="6" customFormat="1" ht="20.100000000000001" customHeight="1" x14ac:dyDescent="0.2">
      <c r="A26" s="336">
        <v>46127</v>
      </c>
      <c r="B26" s="53" t="s">
        <v>614</v>
      </c>
      <c r="C26" s="11"/>
      <c r="D26" s="11"/>
      <c r="E26" s="3"/>
      <c r="F26" s="3"/>
      <c r="G26" s="3"/>
    </row>
    <row r="27" spans="1:7" s="6" customFormat="1" ht="68.25" x14ac:dyDescent="0.2">
      <c r="A27" s="336"/>
      <c r="B27" s="9" t="s">
        <v>615</v>
      </c>
      <c r="C27" s="7"/>
      <c r="D27" s="7"/>
      <c r="E27" s="3"/>
      <c r="F27" s="3"/>
      <c r="G27" s="3"/>
    </row>
    <row r="28" spans="1:7" s="6" customFormat="1" ht="20.100000000000001" customHeight="1" x14ac:dyDescent="0.2">
      <c r="A28" s="336">
        <v>46128</v>
      </c>
      <c r="B28" s="74" t="s">
        <v>616</v>
      </c>
      <c r="C28" s="56" t="s">
        <v>617</v>
      </c>
      <c r="D28" s="11"/>
      <c r="E28" s="3"/>
      <c r="F28" s="3"/>
      <c r="G28" s="3"/>
    </row>
    <row r="29" spans="1:7" s="6" customFormat="1" ht="72.75" customHeight="1" x14ac:dyDescent="0.2">
      <c r="A29" s="336"/>
      <c r="B29" s="9" t="s">
        <v>618</v>
      </c>
      <c r="C29" s="9" t="s">
        <v>619</v>
      </c>
      <c r="D29" s="7"/>
      <c r="E29" s="3"/>
      <c r="F29" s="3"/>
      <c r="G29" s="3"/>
    </row>
    <row r="30" spans="1:7" s="6" customFormat="1" ht="20.100000000000001" customHeight="1" x14ac:dyDescent="0.2">
      <c r="A30" s="336">
        <v>46129</v>
      </c>
      <c r="B30" s="74" t="s">
        <v>620</v>
      </c>
      <c r="C30" s="56"/>
      <c r="D30" s="53"/>
      <c r="E30" s="3"/>
      <c r="F30" s="3"/>
      <c r="G30" s="3"/>
    </row>
    <row r="31" spans="1:7" s="6" customFormat="1" ht="94.5" x14ac:dyDescent="0.2">
      <c r="A31" s="336"/>
      <c r="B31" s="9" t="s">
        <v>621</v>
      </c>
      <c r="C31" s="7"/>
      <c r="D31" s="7"/>
      <c r="E31" s="3"/>
      <c r="F31" s="3"/>
      <c r="G31" s="3"/>
    </row>
    <row r="32" spans="1:7" x14ac:dyDescent="0.2">
      <c r="C32" s="2"/>
      <c r="D32" s="2"/>
      <c r="E32" s="2"/>
      <c r="F32" s="2"/>
      <c r="G32" s="2"/>
    </row>
    <row r="33" spans="1:15" x14ac:dyDescent="0.2">
      <c r="C33" s="2"/>
      <c r="D33" s="2"/>
      <c r="E33" s="2"/>
      <c r="F33" s="2"/>
      <c r="G33" s="2"/>
    </row>
    <row r="34" spans="1:15" x14ac:dyDescent="0.2">
      <c r="A34" s="279" t="s">
        <v>96</v>
      </c>
      <c r="B34" s="279"/>
      <c r="C34" s="279"/>
      <c r="D34" s="279"/>
      <c r="E34" s="279"/>
      <c r="F34" s="279"/>
      <c r="G34" s="279"/>
      <c r="H34" s="279"/>
      <c r="I34" s="279"/>
      <c r="J34" s="279"/>
      <c r="K34" s="38"/>
      <c r="L34" s="38"/>
    </row>
    <row r="35" spans="1:15" ht="27.75" x14ac:dyDescent="0.2">
      <c r="A35" s="280" t="s">
        <v>34</v>
      </c>
      <c r="B35" s="4" t="s">
        <v>97</v>
      </c>
      <c r="C35" s="5" t="s">
        <v>98</v>
      </c>
      <c r="D35" s="5" t="s">
        <v>99</v>
      </c>
      <c r="E35" s="5" t="s">
        <v>100</v>
      </c>
      <c r="F35" s="5" t="s">
        <v>101</v>
      </c>
      <c r="G35" s="5" t="s">
        <v>102</v>
      </c>
      <c r="H35" s="291" t="s">
        <v>8</v>
      </c>
      <c r="I35" s="291"/>
      <c r="J35" s="291"/>
    </row>
    <row r="36" spans="1:15" x14ac:dyDescent="0.2">
      <c r="A36" s="280"/>
      <c r="B36" s="14" t="s">
        <v>103</v>
      </c>
      <c r="C36" s="15" t="s">
        <v>104</v>
      </c>
      <c r="D36" s="15" t="s">
        <v>42</v>
      </c>
      <c r="E36" s="15" t="s">
        <v>105</v>
      </c>
      <c r="F36" s="15" t="s">
        <v>106</v>
      </c>
      <c r="G36" s="15" t="s">
        <v>107</v>
      </c>
      <c r="H36" s="291"/>
      <c r="I36" s="291"/>
      <c r="J36" s="291"/>
    </row>
    <row r="37" spans="1:15" x14ac:dyDescent="0.2">
      <c r="A37" s="335">
        <v>46125</v>
      </c>
      <c r="B37" s="47" t="s">
        <v>622</v>
      </c>
      <c r="C37" s="66" t="s">
        <v>623</v>
      </c>
      <c r="D37" s="66" t="s">
        <v>624</v>
      </c>
      <c r="E37" s="66" t="s">
        <v>625</v>
      </c>
      <c r="F37" s="53" t="s">
        <v>626</v>
      </c>
      <c r="G37" s="66" t="s">
        <v>627</v>
      </c>
      <c r="H37" s="278" t="s">
        <v>628</v>
      </c>
      <c r="I37" s="278"/>
      <c r="J37" s="278"/>
    </row>
    <row r="38" spans="1:15" ht="45" customHeight="1" x14ac:dyDescent="0.2">
      <c r="A38" s="335"/>
      <c r="B38" s="9">
        <v>8260098299</v>
      </c>
      <c r="C38" s="9" t="s">
        <v>629</v>
      </c>
      <c r="D38" s="9">
        <v>8260098307</v>
      </c>
      <c r="E38" s="9">
        <v>8260098284</v>
      </c>
      <c r="F38" s="9" t="s">
        <v>630</v>
      </c>
      <c r="G38" s="9">
        <v>8260098291</v>
      </c>
      <c r="H38" s="278"/>
      <c r="I38" s="278"/>
      <c r="J38" s="278"/>
    </row>
    <row r="39" spans="1:15" x14ac:dyDescent="0.2">
      <c r="A39" s="332">
        <v>46126</v>
      </c>
      <c r="B39" s="66" t="s">
        <v>631</v>
      </c>
      <c r="C39" s="53" t="s">
        <v>632</v>
      </c>
      <c r="D39" s="53" t="s">
        <v>633</v>
      </c>
      <c r="E39" s="53" t="s">
        <v>634</v>
      </c>
      <c r="F39" s="53" t="s">
        <v>635</v>
      </c>
      <c r="G39" s="53" t="s">
        <v>636</v>
      </c>
      <c r="H39" s="319"/>
      <c r="I39" s="319"/>
      <c r="J39" s="319"/>
    </row>
    <row r="40" spans="1:15" ht="45" customHeight="1" x14ac:dyDescent="0.2">
      <c r="A40" s="334"/>
      <c r="B40" s="9">
        <v>8260098344</v>
      </c>
      <c r="C40" s="9" t="s">
        <v>637</v>
      </c>
      <c r="D40" s="7">
        <v>8260098337</v>
      </c>
      <c r="E40" s="7">
        <v>8260098339</v>
      </c>
      <c r="F40" s="9" t="s">
        <v>638</v>
      </c>
      <c r="G40" s="7">
        <v>8260098340</v>
      </c>
      <c r="H40" s="319"/>
      <c r="I40" s="319"/>
      <c r="J40" s="319"/>
    </row>
    <row r="41" spans="1:15" x14ac:dyDescent="0.2">
      <c r="A41" s="332">
        <v>46127</v>
      </c>
      <c r="B41" s="47" t="s">
        <v>639</v>
      </c>
      <c r="C41" s="66" t="s">
        <v>640</v>
      </c>
      <c r="D41" s="66" t="s">
        <v>641</v>
      </c>
      <c r="E41" s="66" t="s">
        <v>642</v>
      </c>
      <c r="F41" s="66" t="s">
        <v>643</v>
      </c>
      <c r="G41" s="66" t="s">
        <v>644</v>
      </c>
      <c r="H41" s="319" t="s">
        <v>645</v>
      </c>
      <c r="I41" s="319"/>
      <c r="J41" s="319"/>
    </row>
    <row r="42" spans="1:15" ht="45" customHeight="1" x14ac:dyDescent="0.2">
      <c r="A42" s="334"/>
      <c r="B42" s="7">
        <v>8260098424</v>
      </c>
      <c r="C42" s="9" t="s">
        <v>646</v>
      </c>
      <c r="D42" s="7">
        <v>8260098433</v>
      </c>
      <c r="E42" s="7">
        <v>8260098427</v>
      </c>
      <c r="F42" s="9" t="s">
        <v>647</v>
      </c>
      <c r="G42" s="7">
        <v>8260098435</v>
      </c>
      <c r="H42" s="319"/>
      <c r="I42" s="319"/>
      <c r="J42" s="319"/>
    </row>
    <row r="43" spans="1:15" ht="15" customHeight="1" x14ac:dyDescent="0.2">
      <c r="A43" s="332">
        <v>46128</v>
      </c>
      <c r="B43" s="47" t="s">
        <v>648</v>
      </c>
      <c r="C43" s="66" t="s">
        <v>649</v>
      </c>
      <c r="D43" s="66" t="s">
        <v>650</v>
      </c>
      <c r="E43" s="66" t="s">
        <v>651</v>
      </c>
      <c r="F43" s="66" t="s">
        <v>652</v>
      </c>
      <c r="G43" s="66" t="s">
        <v>653</v>
      </c>
      <c r="H43" s="278" t="s">
        <v>654</v>
      </c>
      <c r="I43" s="278"/>
      <c r="J43" s="278"/>
    </row>
    <row r="44" spans="1:15" ht="45" customHeight="1" x14ac:dyDescent="0.2">
      <c r="A44" s="334"/>
      <c r="B44" s="7">
        <v>8260098510</v>
      </c>
      <c r="C44" s="9" t="s">
        <v>655</v>
      </c>
      <c r="D44" s="7">
        <v>8260098484</v>
      </c>
      <c r="E44" s="7">
        <v>8260098481</v>
      </c>
      <c r="F44" s="7">
        <v>8260098482</v>
      </c>
      <c r="G44" s="7">
        <v>8260098491</v>
      </c>
      <c r="H44" s="278"/>
      <c r="I44" s="278"/>
      <c r="J44" s="278"/>
    </row>
    <row r="45" spans="1:15" x14ac:dyDescent="0.2">
      <c r="A45" s="332">
        <v>46129</v>
      </c>
      <c r="B45" s="66" t="s">
        <v>656</v>
      </c>
      <c r="C45" s="66" t="s">
        <v>657</v>
      </c>
      <c r="D45" s="66" t="s">
        <v>658</v>
      </c>
      <c r="E45" s="66" t="s">
        <v>659</v>
      </c>
      <c r="F45" s="66" t="s">
        <v>660</v>
      </c>
      <c r="G45" s="66" t="s">
        <v>653</v>
      </c>
      <c r="H45" s="331"/>
      <c r="I45" s="331"/>
      <c r="J45" s="331"/>
    </row>
    <row r="46" spans="1:15" s="6" customFormat="1" ht="45" customHeight="1" x14ac:dyDescent="0.2">
      <c r="A46" s="334"/>
      <c r="B46" s="7">
        <v>8260098578</v>
      </c>
      <c r="C46" s="9" t="s">
        <v>661</v>
      </c>
      <c r="D46" s="7">
        <v>8260098555</v>
      </c>
      <c r="E46" s="7">
        <v>8260098567</v>
      </c>
      <c r="F46" s="7">
        <v>8260098557</v>
      </c>
      <c r="G46" s="7">
        <v>8260098569</v>
      </c>
      <c r="H46" s="331"/>
      <c r="I46" s="331"/>
      <c r="J46" s="331"/>
    </row>
    <row r="47" spans="1:1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5" x14ac:dyDescent="0.2">
      <c r="A48" s="279" t="s">
        <v>143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38"/>
      <c r="N48" s="38"/>
      <c r="O48" s="38"/>
    </row>
    <row r="49" spans="1:12" ht="41.25" x14ac:dyDescent="0.2">
      <c r="A49" s="280" t="s">
        <v>34</v>
      </c>
      <c r="B49" s="5" t="s">
        <v>144</v>
      </c>
      <c r="C49" s="5" t="s">
        <v>145</v>
      </c>
      <c r="D49" s="5" t="s">
        <v>146</v>
      </c>
      <c r="E49" s="5" t="s">
        <v>662</v>
      </c>
      <c r="F49" s="5" t="s">
        <v>148</v>
      </c>
      <c r="G49" s="5" t="s">
        <v>149</v>
      </c>
      <c r="H49" s="5" t="s">
        <v>150</v>
      </c>
      <c r="I49" s="5" t="s">
        <v>151</v>
      </c>
      <c r="J49" s="5" t="s">
        <v>152</v>
      </c>
      <c r="K49" s="5" t="s">
        <v>663</v>
      </c>
      <c r="L49" s="282" t="s">
        <v>8</v>
      </c>
    </row>
    <row r="50" spans="1:12" x14ac:dyDescent="0.2">
      <c r="A50" s="280"/>
      <c r="B50" s="15" t="s">
        <v>153</v>
      </c>
      <c r="C50" s="15" t="s">
        <v>153</v>
      </c>
      <c r="D50" s="15" t="s">
        <v>154</v>
      </c>
      <c r="E50" s="15" t="s">
        <v>155</v>
      </c>
      <c r="F50" s="15" t="s">
        <v>156</v>
      </c>
      <c r="G50" s="15" t="s">
        <v>156</v>
      </c>
      <c r="H50" s="15" t="s">
        <v>45</v>
      </c>
      <c r="I50" s="15" t="s">
        <v>157</v>
      </c>
      <c r="J50" s="15" t="s">
        <v>157</v>
      </c>
      <c r="K50" s="15" t="s">
        <v>106</v>
      </c>
      <c r="L50" s="282"/>
    </row>
    <row r="51" spans="1:12" x14ac:dyDescent="0.2">
      <c r="A51" s="335">
        <v>46125</v>
      </c>
      <c r="B51" s="66" t="s">
        <v>664</v>
      </c>
      <c r="C51" s="66" t="s">
        <v>665</v>
      </c>
      <c r="D51" s="66" t="s">
        <v>666</v>
      </c>
      <c r="E51" s="66" t="s">
        <v>667</v>
      </c>
      <c r="F51" s="66" t="s">
        <v>668</v>
      </c>
      <c r="G51" s="66" t="s">
        <v>669</v>
      </c>
      <c r="H51" s="66" t="s">
        <v>670</v>
      </c>
      <c r="I51" s="66"/>
      <c r="J51" s="66"/>
      <c r="K51" s="66"/>
      <c r="L51" s="323"/>
    </row>
    <row r="52" spans="1:12" ht="45" customHeight="1" x14ac:dyDescent="0.2">
      <c r="A52" s="335"/>
      <c r="B52" s="9">
        <v>8260098288</v>
      </c>
      <c r="C52" s="9" t="s">
        <v>671</v>
      </c>
      <c r="D52" s="9">
        <v>8260098287</v>
      </c>
      <c r="E52" s="9">
        <v>8260098296</v>
      </c>
      <c r="F52" s="9">
        <v>8260098293</v>
      </c>
      <c r="G52" s="9">
        <v>8260098308</v>
      </c>
      <c r="H52" s="9">
        <v>8260098283</v>
      </c>
      <c r="I52" s="9"/>
      <c r="J52" s="9"/>
      <c r="K52" s="9"/>
      <c r="L52" s="325"/>
    </row>
    <row r="53" spans="1:12" x14ac:dyDescent="0.2">
      <c r="A53" s="332">
        <v>46126</v>
      </c>
      <c r="B53" s="47" t="s">
        <v>672</v>
      </c>
      <c r="C53" s="66" t="s">
        <v>673</v>
      </c>
      <c r="D53" s="66" t="s">
        <v>674</v>
      </c>
      <c r="E53" s="66" t="s">
        <v>675</v>
      </c>
      <c r="F53" s="66" t="s">
        <v>635</v>
      </c>
      <c r="G53" s="66" t="s">
        <v>676</v>
      </c>
      <c r="H53" s="66" t="s">
        <v>677</v>
      </c>
      <c r="I53" s="66"/>
      <c r="J53" s="66"/>
      <c r="K53" s="66"/>
      <c r="L53" s="323" t="s">
        <v>678</v>
      </c>
    </row>
    <row r="54" spans="1:12" ht="45" customHeight="1" x14ac:dyDescent="0.2">
      <c r="A54" s="334"/>
      <c r="B54" s="9">
        <v>8260098359</v>
      </c>
      <c r="C54" s="9" t="s">
        <v>679</v>
      </c>
      <c r="D54" s="9">
        <v>8260098357</v>
      </c>
      <c r="E54" s="9">
        <v>8260098366</v>
      </c>
      <c r="F54" s="9">
        <v>8260098361</v>
      </c>
      <c r="G54" s="7">
        <v>8260098355</v>
      </c>
      <c r="H54" s="9">
        <v>8260098363</v>
      </c>
      <c r="I54" s="8"/>
      <c r="J54" s="8"/>
      <c r="K54" s="8"/>
      <c r="L54" s="325"/>
    </row>
    <row r="55" spans="1:12" x14ac:dyDescent="0.2">
      <c r="A55" s="332">
        <v>46127</v>
      </c>
      <c r="B55" s="61" t="s">
        <v>680</v>
      </c>
      <c r="C55" s="61" t="s">
        <v>681</v>
      </c>
      <c r="D55" s="61" t="s">
        <v>682</v>
      </c>
      <c r="E55" s="61" t="s">
        <v>683</v>
      </c>
      <c r="F55" s="61" t="s">
        <v>684</v>
      </c>
      <c r="G55" s="53" t="s">
        <v>685</v>
      </c>
      <c r="H55" s="66" t="s">
        <v>686</v>
      </c>
      <c r="I55" s="66"/>
      <c r="J55" s="66"/>
      <c r="K55" s="66"/>
      <c r="L55" s="366"/>
    </row>
    <row r="56" spans="1:12" ht="45" customHeight="1" x14ac:dyDescent="0.2">
      <c r="A56" s="334"/>
      <c r="B56" s="9">
        <v>8260098421</v>
      </c>
      <c r="C56" s="9" t="s">
        <v>687</v>
      </c>
      <c r="D56" s="9">
        <v>8260098407</v>
      </c>
      <c r="E56" s="9">
        <v>8260098430</v>
      </c>
      <c r="F56" s="9">
        <v>8260098411</v>
      </c>
      <c r="G56" s="7">
        <v>8260098425</v>
      </c>
      <c r="H56" s="9">
        <v>8260098401</v>
      </c>
      <c r="I56" s="9"/>
      <c r="J56" s="9"/>
      <c r="K56" s="9"/>
      <c r="L56" s="367"/>
    </row>
    <row r="57" spans="1:12" x14ac:dyDescent="0.2">
      <c r="A57" s="332">
        <v>46128</v>
      </c>
      <c r="B57" s="61" t="s">
        <v>688</v>
      </c>
      <c r="C57" s="17" t="s">
        <v>689</v>
      </c>
      <c r="D57" s="61" t="s">
        <v>690</v>
      </c>
      <c r="E57" s="61" t="s">
        <v>691</v>
      </c>
      <c r="F57" s="61" t="s">
        <v>692</v>
      </c>
      <c r="G57" s="53" t="s">
        <v>693</v>
      </c>
      <c r="H57" s="61" t="s">
        <v>694</v>
      </c>
      <c r="I57" s="61"/>
      <c r="J57" s="61" t="s">
        <v>695</v>
      </c>
      <c r="K57" s="16"/>
      <c r="L57" s="323" t="s">
        <v>696</v>
      </c>
    </row>
    <row r="58" spans="1:12" ht="45" customHeight="1" x14ac:dyDescent="0.2">
      <c r="A58" s="334"/>
      <c r="B58" s="9">
        <v>8260098507</v>
      </c>
      <c r="C58" s="9" t="s">
        <v>697</v>
      </c>
      <c r="D58" s="9">
        <v>8260098479</v>
      </c>
      <c r="E58" s="9">
        <v>8260098504</v>
      </c>
      <c r="F58" s="9">
        <v>8260098506</v>
      </c>
      <c r="G58" s="7">
        <v>8260098494</v>
      </c>
      <c r="H58" s="9">
        <v>8260098490</v>
      </c>
      <c r="I58" s="9"/>
      <c r="J58" s="9">
        <v>8260098493</v>
      </c>
      <c r="K58" s="9"/>
      <c r="L58" s="325"/>
    </row>
    <row r="59" spans="1:12" x14ac:dyDescent="0.2">
      <c r="A59" s="332">
        <v>46129</v>
      </c>
      <c r="B59" s="17" t="s">
        <v>698</v>
      </c>
      <c r="C59" s="61" t="s">
        <v>699</v>
      </c>
      <c r="D59" s="61" t="s">
        <v>700</v>
      </c>
      <c r="E59" s="61" t="s">
        <v>701</v>
      </c>
      <c r="F59" s="61"/>
      <c r="G59" s="53" t="s">
        <v>702</v>
      </c>
      <c r="H59" s="61" t="s">
        <v>703</v>
      </c>
      <c r="I59" s="66"/>
      <c r="J59" s="66"/>
      <c r="K59" s="66"/>
      <c r="L59" s="323" t="s">
        <v>704</v>
      </c>
    </row>
    <row r="60" spans="1:12" ht="45" customHeight="1" x14ac:dyDescent="0.2">
      <c r="A60" s="334"/>
      <c r="B60" s="9">
        <v>8260098565</v>
      </c>
      <c r="C60" s="9" t="s">
        <v>705</v>
      </c>
      <c r="D60" s="9">
        <v>8260098566</v>
      </c>
      <c r="E60" s="9">
        <v>8260098576</v>
      </c>
      <c r="F60" s="9"/>
      <c r="G60" s="7">
        <v>8260098580</v>
      </c>
      <c r="H60" s="9">
        <v>8260098562</v>
      </c>
      <c r="I60" s="8"/>
      <c r="J60" s="8"/>
      <c r="K60" s="8"/>
      <c r="L60" s="325"/>
    </row>
    <row r="62" spans="1:12" ht="27.75" x14ac:dyDescent="0.2">
      <c r="A62" s="280" t="s">
        <v>34</v>
      </c>
      <c r="B62" s="5" t="s">
        <v>196</v>
      </c>
      <c r="C62" s="5" t="s">
        <v>472</v>
      </c>
      <c r="D62" s="5" t="s">
        <v>198</v>
      </c>
      <c r="E62" s="5" t="s">
        <v>199</v>
      </c>
      <c r="F62" s="5" t="s">
        <v>200</v>
      </c>
      <c r="G62" s="5" t="s">
        <v>201</v>
      </c>
      <c r="H62" s="5" t="s">
        <v>202</v>
      </c>
      <c r="I62" s="5" t="s">
        <v>203</v>
      </c>
      <c r="J62" s="5" t="s">
        <v>204</v>
      </c>
      <c r="K62" s="282" t="s">
        <v>8</v>
      </c>
      <c r="L62" s="282"/>
    </row>
    <row r="63" spans="1:12" x14ac:dyDescent="0.2">
      <c r="A63" s="280"/>
      <c r="B63" s="15" t="s">
        <v>153</v>
      </c>
      <c r="C63" s="15" t="s">
        <v>205</v>
      </c>
      <c r="D63" s="15" t="s">
        <v>206</v>
      </c>
      <c r="E63" s="15" t="s">
        <v>207</v>
      </c>
      <c r="F63" s="15" t="s">
        <v>208</v>
      </c>
      <c r="G63" s="15" t="s">
        <v>207</v>
      </c>
      <c r="H63" s="15" t="s">
        <v>103</v>
      </c>
      <c r="I63" s="15" t="s">
        <v>208</v>
      </c>
      <c r="J63" s="15" t="s">
        <v>209</v>
      </c>
      <c r="K63" s="282"/>
      <c r="L63" s="282"/>
    </row>
    <row r="64" spans="1:12" x14ac:dyDescent="0.2">
      <c r="A64" s="335">
        <v>46125</v>
      </c>
      <c r="B64" s="66" t="s">
        <v>706</v>
      </c>
      <c r="C64" s="66" t="s">
        <v>707</v>
      </c>
      <c r="D64" s="66" t="s">
        <v>708</v>
      </c>
      <c r="E64" s="66" t="s">
        <v>709</v>
      </c>
      <c r="F64" s="66" t="s">
        <v>710</v>
      </c>
      <c r="G64" s="66" t="s">
        <v>711</v>
      </c>
      <c r="H64" s="66" t="s">
        <v>712</v>
      </c>
      <c r="I64" s="47" t="s">
        <v>713</v>
      </c>
      <c r="J64" s="66"/>
      <c r="K64" s="278" t="s">
        <v>714</v>
      </c>
      <c r="L64" s="278"/>
    </row>
    <row r="65" spans="1:14" ht="45" customHeight="1" x14ac:dyDescent="0.2">
      <c r="A65" s="335"/>
      <c r="B65" s="9">
        <v>8260098305</v>
      </c>
      <c r="C65" s="9">
        <v>8260098282</v>
      </c>
      <c r="D65" s="9">
        <v>8260098309</v>
      </c>
      <c r="E65" s="9">
        <v>8260098285</v>
      </c>
      <c r="F65" s="9">
        <v>8260098302</v>
      </c>
      <c r="G65" s="9">
        <v>8260098289</v>
      </c>
      <c r="H65" s="9">
        <v>8260098303</v>
      </c>
      <c r="I65" s="9" t="s">
        <v>715</v>
      </c>
      <c r="J65" s="9"/>
      <c r="K65" s="278"/>
      <c r="L65" s="278"/>
    </row>
    <row r="66" spans="1:14" x14ac:dyDescent="0.2">
      <c r="A66" s="332">
        <v>46126</v>
      </c>
      <c r="B66" s="66" t="s">
        <v>716</v>
      </c>
      <c r="C66" s="66" t="s">
        <v>717</v>
      </c>
      <c r="D66" s="66" t="s">
        <v>718</v>
      </c>
      <c r="E66" s="66" t="s">
        <v>633</v>
      </c>
      <c r="F66" s="66" t="s">
        <v>719</v>
      </c>
      <c r="G66" s="66" t="s">
        <v>720</v>
      </c>
      <c r="H66" s="66" t="s">
        <v>721</v>
      </c>
      <c r="I66" s="66" t="s">
        <v>722</v>
      </c>
      <c r="J66" s="66"/>
      <c r="K66" s="319"/>
      <c r="L66" s="319"/>
    </row>
    <row r="67" spans="1:14" ht="45" customHeight="1" x14ac:dyDescent="0.2">
      <c r="A67" s="334"/>
      <c r="B67" s="9">
        <v>8260098365</v>
      </c>
      <c r="C67" s="9">
        <v>8260098364</v>
      </c>
      <c r="D67" s="9">
        <v>8260098368</v>
      </c>
      <c r="E67" s="7">
        <v>8260098360</v>
      </c>
      <c r="F67" s="9">
        <v>8260098356</v>
      </c>
      <c r="G67" s="9">
        <v>8260098362</v>
      </c>
      <c r="H67" s="9">
        <v>8260098354</v>
      </c>
      <c r="I67" s="9" t="s">
        <v>723</v>
      </c>
      <c r="J67" s="7"/>
      <c r="K67" s="319"/>
      <c r="L67" s="319"/>
    </row>
    <row r="68" spans="1:14" x14ac:dyDescent="0.2">
      <c r="A68" s="332">
        <v>46127</v>
      </c>
      <c r="B68" s="61" t="s">
        <v>724</v>
      </c>
      <c r="C68" s="61" t="s">
        <v>725</v>
      </c>
      <c r="D68" s="61" t="s">
        <v>726</v>
      </c>
      <c r="E68" s="53" t="s">
        <v>727</v>
      </c>
      <c r="F68" s="61" t="s">
        <v>728</v>
      </c>
      <c r="G68" s="61" t="s">
        <v>729</v>
      </c>
      <c r="H68" s="17" t="s">
        <v>730</v>
      </c>
      <c r="I68" s="61" t="s">
        <v>731</v>
      </c>
      <c r="J68" s="53"/>
      <c r="K68" s="319" t="s">
        <v>732</v>
      </c>
      <c r="L68" s="319"/>
    </row>
    <row r="69" spans="1:14" ht="45" customHeight="1" x14ac:dyDescent="0.2">
      <c r="A69" s="334"/>
      <c r="B69" s="9">
        <v>8260098409</v>
      </c>
      <c r="C69" s="9">
        <v>8260098414</v>
      </c>
      <c r="D69" s="9">
        <v>8260098429</v>
      </c>
      <c r="E69" s="7">
        <v>8260098403</v>
      </c>
      <c r="F69" s="9">
        <v>8260098432</v>
      </c>
      <c r="G69" s="9">
        <v>8260098428</v>
      </c>
      <c r="H69" s="9">
        <v>8260098420</v>
      </c>
      <c r="I69" s="9" t="s">
        <v>733</v>
      </c>
      <c r="J69" s="7"/>
      <c r="K69" s="319"/>
      <c r="L69" s="319"/>
    </row>
    <row r="70" spans="1:14" x14ac:dyDescent="0.2">
      <c r="A70" s="332">
        <v>46128</v>
      </c>
      <c r="B70" s="17" t="s">
        <v>734</v>
      </c>
      <c r="C70" s="17" t="s">
        <v>735</v>
      </c>
      <c r="D70" s="61" t="s">
        <v>736</v>
      </c>
      <c r="E70" s="53" t="s">
        <v>652</v>
      </c>
      <c r="F70" s="61" t="s">
        <v>737</v>
      </c>
      <c r="G70" s="61" t="s">
        <v>738</v>
      </c>
      <c r="H70" s="61" t="s">
        <v>739</v>
      </c>
      <c r="I70" s="61" t="s">
        <v>740</v>
      </c>
      <c r="J70" s="53"/>
      <c r="K70" s="319" t="s">
        <v>741</v>
      </c>
      <c r="L70" s="319"/>
    </row>
    <row r="71" spans="1:14" ht="45" customHeight="1" x14ac:dyDescent="0.2">
      <c r="A71" s="334"/>
      <c r="B71" s="9">
        <v>8260098499</v>
      </c>
      <c r="C71" s="9">
        <v>8260098485</v>
      </c>
      <c r="D71" s="9">
        <v>8260098508</v>
      </c>
      <c r="E71" s="7">
        <v>8260098498</v>
      </c>
      <c r="F71" s="9">
        <v>8260098487</v>
      </c>
      <c r="G71" s="9">
        <v>8260098503</v>
      </c>
      <c r="H71" s="9">
        <v>8260098509</v>
      </c>
      <c r="I71" s="9" t="s">
        <v>742</v>
      </c>
      <c r="J71" s="7"/>
      <c r="K71" s="319"/>
      <c r="L71" s="319"/>
    </row>
    <row r="72" spans="1:14" x14ac:dyDescent="0.2">
      <c r="A72" s="332">
        <v>46129</v>
      </c>
      <c r="B72" s="61" t="s">
        <v>743</v>
      </c>
      <c r="C72" s="61" t="s">
        <v>744</v>
      </c>
      <c r="D72" s="61" t="s">
        <v>745</v>
      </c>
      <c r="E72" s="53" t="s">
        <v>746</v>
      </c>
      <c r="F72" s="61" t="s">
        <v>747</v>
      </c>
      <c r="G72" s="61" t="s">
        <v>748</v>
      </c>
      <c r="H72" s="61" t="s">
        <v>749</v>
      </c>
      <c r="I72" s="61" t="s">
        <v>750</v>
      </c>
      <c r="J72" s="53"/>
      <c r="K72" s="331"/>
      <c r="L72" s="331"/>
    </row>
    <row r="73" spans="1:14" ht="45" customHeight="1" x14ac:dyDescent="0.2">
      <c r="A73" s="334"/>
      <c r="B73" s="9">
        <v>8260098582</v>
      </c>
      <c r="C73" s="9">
        <v>8260098573</v>
      </c>
      <c r="D73" s="9">
        <v>8260098581</v>
      </c>
      <c r="E73" s="7">
        <v>8260098563</v>
      </c>
      <c r="F73" s="9">
        <v>8260098575</v>
      </c>
      <c r="G73" s="9">
        <v>8260098564</v>
      </c>
      <c r="H73" s="9">
        <v>8260098577</v>
      </c>
      <c r="I73" s="9" t="s">
        <v>751</v>
      </c>
      <c r="J73" s="7"/>
      <c r="K73" s="331"/>
      <c r="L73" s="331"/>
    </row>
    <row r="75" spans="1:14" x14ac:dyDescent="0.2">
      <c r="A75" s="279" t="s">
        <v>252</v>
      </c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38"/>
      <c r="N75" s="38"/>
    </row>
    <row r="76" spans="1:14" ht="27.75" x14ac:dyDescent="0.2">
      <c r="A76" s="329" t="s">
        <v>34</v>
      </c>
      <c r="B76" s="82" t="s">
        <v>253</v>
      </c>
      <c r="C76" s="82" t="s">
        <v>254</v>
      </c>
      <c r="D76" s="82" t="s">
        <v>255</v>
      </c>
      <c r="E76" s="82" t="s">
        <v>256</v>
      </c>
      <c r="F76" s="82" t="s">
        <v>257</v>
      </c>
      <c r="G76" s="82" t="s">
        <v>258</v>
      </c>
      <c r="H76" s="82" t="s">
        <v>259</v>
      </c>
      <c r="I76" s="82" t="s">
        <v>260</v>
      </c>
      <c r="J76" s="330" t="s">
        <v>8</v>
      </c>
      <c r="K76" s="330"/>
      <c r="L76" s="330"/>
    </row>
    <row r="77" spans="1:14" x14ac:dyDescent="0.2">
      <c r="A77" s="280"/>
      <c r="B77" s="15" t="s">
        <v>154</v>
      </c>
      <c r="C77" s="15" t="s">
        <v>261</v>
      </c>
      <c r="D77" s="15" t="s">
        <v>262</v>
      </c>
      <c r="E77" s="15" t="s">
        <v>42</v>
      </c>
      <c r="F77" s="15" t="s">
        <v>263</v>
      </c>
      <c r="G77" s="15" t="s">
        <v>264</v>
      </c>
      <c r="H77" s="15" t="s">
        <v>265</v>
      </c>
      <c r="I77" s="15" t="s">
        <v>263</v>
      </c>
      <c r="J77" s="282"/>
      <c r="K77" s="282"/>
      <c r="L77" s="282"/>
    </row>
    <row r="78" spans="1:14" x14ac:dyDescent="0.2">
      <c r="A78" s="335">
        <v>46125</v>
      </c>
      <c r="B78" s="53" t="s">
        <v>752</v>
      </c>
      <c r="C78" s="66" t="s">
        <v>753</v>
      </c>
      <c r="D78" s="66" t="s">
        <v>754</v>
      </c>
      <c r="E78" s="66" t="s">
        <v>754</v>
      </c>
      <c r="F78" s="66" t="s">
        <v>755</v>
      </c>
      <c r="G78" s="66" t="s">
        <v>756</v>
      </c>
      <c r="H78" s="66" t="s">
        <v>757</v>
      </c>
      <c r="I78" s="66"/>
      <c r="J78" s="331"/>
      <c r="K78" s="331"/>
      <c r="L78" s="331"/>
    </row>
    <row r="79" spans="1:14" ht="45" customHeight="1" x14ac:dyDescent="0.2">
      <c r="A79" s="335"/>
      <c r="B79" s="9">
        <v>8260098290</v>
      </c>
      <c r="C79" s="9">
        <v>8260098280</v>
      </c>
      <c r="D79" s="9">
        <v>8260098298</v>
      </c>
      <c r="E79" s="9">
        <v>8260098295</v>
      </c>
      <c r="F79" s="9">
        <v>8260098281</v>
      </c>
      <c r="G79" s="9">
        <v>8260098277</v>
      </c>
      <c r="H79" s="9">
        <v>8260098297</v>
      </c>
      <c r="I79" s="9"/>
      <c r="J79" s="331"/>
      <c r="K79" s="331"/>
      <c r="L79" s="331"/>
    </row>
    <row r="80" spans="1:14" x14ac:dyDescent="0.2">
      <c r="A80" s="332">
        <v>46126</v>
      </c>
      <c r="B80" s="66" t="s">
        <v>758</v>
      </c>
      <c r="C80" s="66" t="s">
        <v>675</v>
      </c>
      <c r="D80" s="66" t="s">
        <v>759</v>
      </c>
      <c r="E80" s="66" t="s">
        <v>759</v>
      </c>
      <c r="F80" s="66" t="s">
        <v>760</v>
      </c>
      <c r="G80" s="66" t="s">
        <v>761</v>
      </c>
      <c r="H80" s="66" t="s">
        <v>762</v>
      </c>
      <c r="I80" s="66"/>
      <c r="J80" s="331"/>
      <c r="K80" s="331"/>
      <c r="L80" s="331"/>
    </row>
    <row r="81" spans="1:12" ht="45" customHeight="1" x14ac:dyDescent="0.2">
      <c r="A81" s="334"/>
      <c r="B81" s="81" t="s">
        <v>763</v>
      </c>
      <c r="C81" s="9">
        <v>8260098367</v>
      </c>
      <c r="D81" s="9">
        <v>8260098349</v>
      </c>
      <c r="E81" s="9">
        <v>8260098350</v>
      </c>
      <c r="F81" s="9">
        <v>8260098351</v>
      </c>
      <c r="G81" s="9">
        <v>8260098352</v>
      </c>
      <c r="H81" s="9">
        <v>8260098343</v>
      </c>
      <c r="I81" s="9"/>
      <c r="J81" s="331"/>
      <c r="K81" s="331"/>
      <c r="L81" s="331"/>
    </row>
    <row r="82" spans="1:12" x14ac:dyDescent="0.2">
      <c r="A82" s="332">
        <v>46127</v>
      </c>
      <c r="B82" s="61" t="s">
        <v>764</v>
      </c>
      <c r="C82" s="61" t="s">
        <v>765</v>
      </c>
      <c r="D82" s="61" t="s">
        <v>766</v>
      </c>
      <c r="E82" s="61" t="s">
        <v>766</v>
      </c>
      <c r="F82" s="61" t="s">
        <v>640</v>
      </c>
      <c r="G82" s="61" t="s">
        <v>767</v>
      </c>
      <c r="H82" s="61" t="s">
        <v>768</v>
      </c>
      <c r="I82" s="61"/>
      <c r="J82" s="331"/>
      <c r="K82" s="331"/>
      <c r="L82" s="331"/>
    </row>
    <row r="83" spans="1:12" ht="45" customHeight="1" x14ac:dyDescent="0.2">
      <c r="A83" s="334"/>
      <c r="B83" s="9" t="s">
        <v>769</v>
      </c>
      <c r="C83" s="9">
        <v>8260098431</v>
      </c>
      <c r="D83" s="9">
        <v>8260098434</v>
      </c>
      <c r="E83" s="9">
        <v>8260098406</v>
      </c>
      <c r="F83" s="9">
        <v>8260098410</v>
      </c>
      <c r="G83" s="9">
        <v>8260098426</v>
      </c>
      <c r="H83" s="9">
        <v>8260098405</v>
      </c>
      <c r="I83" s="9"/>
      <c r="J83" s="331"/>
      <c r="K83" s="331"/>
      <c r="L83" s="331"/>
    </row>
    <row r="84" spans="1:12" x14ac:dyDescent="0.2">
      <c r="A84" s="332">
        <v>46128</v>
      </c>
      <c r="B84" s="61" t="s">
        <v>770</v>
      </c>
      <c r="C84" s="61" t="s">
        <v>771</v>
      </c>
      <c r="D84" s="61" t="s">
        <v>772</v>
      </c>
      <c r="E84" s="61" t="s">
        <v>772</v>
      </c>
      <c r="F84" s="61" t="s">
        <v>773</v>
      </c>
      <c r="G84" s="61" t="s">
        <v>774</v>
      </c>
      <c r="H84" s="61" t="s">
        <v>775</v>
      </c>
      <c r="I84" s="61"/>
      <c r="J84" s="331"/>
      <c r="K84" s="331"/>
      <c r="L84" s="331"/>
    </row>
    <row r="85" spans="1:12" ht="45" customHeight="1" x14ac:dyDescent="0.2">
      <c r="A85" s="334"/>
      <c r="B85" s="9" t="s">
        <v>776</v>
      </c>
      <c r="C85" s="9">
        <v>8260098511</v>
      </c>
      <c r="D85" s="9">
        <v>8260098502</v>
      </c>
      <c r="E85" s="9">
        <v>8260098488</v>
      </c>
      <c r="F85" s="9">
        <v>8260098492</v>
      </c>
      <c r="G85" s="9">
        <v>8260098483</v>
      </c>
      <c r="H85" s="9">
        <v>8260098501</v>
      </c>
      <c r="I85" s="9"/>
      <c r="J85" s="331"/>
      <c r="K85" s="331"/>
      <c r="L85" s="331"/>
    </row>
    <row r="86" spans="1:12" x14ac:dyDescent="0.2">
      <c r="A86" s="332">
        <v>46129</v>
      </c>
      <c r="B86" s="61" t="s">
        <v>777</v>
      </c>
      <c r="C86" s="61" t="s">
        <v>778</v>
      </c>
      <c r="D86" s="61" t="s">
        <v>779</v>
      </c>
      <c r="E86" s="61" t="s">
        <v>779</v>
      </c>
      <c r="F86" s="61" t="s">
        <v>780</v>
      </c>
      <c r="G86" s="61" t="s">
        <v>781</v>
      </c>
      <c r="H86" s="17" t="s">
        <v>782</v>
      </c>
      <c r="I86" s="61"/>
      <c r="J86" s="368" t="s">
        <v>783</v>
      </c>
      <c r="K86" s="368"/>
      <c r="L86" s="368"/>
    </row>
    <row r="87" spans="1:12" ht="45" customHeight="1" x14ac:dyDescent="0.2">
      <c r="A87" s="334"/>
      <c r="B87" s="9" t="s">
        <v>784</v>
      </c>
      <c r="C87" s="9">
        <v>8260092090</v>
      </c>
      <c r="D87" s="9">
        <v>8260092074</v>
      </c>
      <c r="E87" s="9">
        <v>8260092047</v>
      </c>
      <c r="F87" s="9">
        <v>8260092026</v>
      </c>
      <c r="G87" s="9">
        <v>8260092060</v>
      </c>
      <c r="H87" s="9">
        <v>8260092102</v>
      </c>
      <c r="I87" s="9"/>
      <c r="J87" s="368"/>
      <c r="K87" s="368"/>
      <c r="L87" s="368"/>
    </row>
  </sheetData>
  <mergeCells count="75">
    <mergeCell ref="A86:A87"/>
    <mergeCell ref="J84:L85"/>
    <mergeCell ref="J86:L87"/>
    <mergeCell ref="K68:L69"/>
    <mergeCell ref="K70:L71"/>
    <mergeCell ref="K72:L73"/>
    <mergeCell ref="A82:A83"/>
    <mergeCell ref="A84:A85"/>
    <mergeCell ref="A68:A69"/>
    <mergeCell ref="A70:A71"/>
    <mergeCell ref="A72:A73"/>
    <mergeCell ref="A76:A77"/>
    <mergeCell ref="A78:A79"/>
    <mergeCell ref="A75:L75"/>
    <mergeCell ref="J76:L77"/>
    <mergeCell ref="J78:L79"/>
    <mergeCell ref="A62:A63"/>
    <mergeCell ref="A64:A65"/>
    <mergeCell ref="A66:A67"/>
    <mergeCell ref="K62:L63"/>
    <mergeCell ref="K64:L65"/>
    <mergeCell ref="K66:L67"/>
    <mergeCell ref="A55:A56"/>
    <mergeCell ref="L55:L56"/>
    <mergeCell ref="A57:A58"/>
    <mergeCell ref="L57:L58"/>
    <mergeCell ref="A59:A60"/>
    <mergeCell ref="L59:L60"/>
    <mergeCell ref="A53:A54"/>
    <mergeCell ref="L53:L54"/>
    <mergeCell ref="A41:A42"/>
    <mergeCell ref="A43:A44"/>
    <mergeCell ref="A45:A46"/>
    <mergeCell ref="A48:L48"/>
    <mergeCell ref="A49:A50"/>
    <mergeCell ref="L49:L50"/>
    <mergeCell ref="A51:A52"/>
    <mergeCell ref="L51:L52"/>
    <mergeCell ref="H41:J42"/>
    <mergeCell ref="H43:J44"/>
    <mergeCell ref="H45:J46"/>
    <mergeCell ref="A37:A38"/>
    <mergeCell ref="A34:J34"/>
    <mergeCell ref="H35:J36"/>
    <mergeCell ref="H37:J38"/>
    <mergeCell ref="A39:A40"/>
    <mergeCell ref="H39:J40"/>
    <mergeCell ref="A3:L3"/>
    <mergeCell ref="A4:A6"/>
    <mergeCell ref="B4:G4"/>
    <mergeCell ref="H4:J4"/>
    <mergeCell ref="C19:C20"/>
    <mergeCell ref="D19:D20"/>
    <mergeCell ref="K4:L6"/>
    <mergeCell ref="K7:L8"/>
    <mergeCell ref="K9:L10"/>
    <mergeCell ref="K11:L12"/>
    <mergeCell ref="K13:L14"/>
    <mergeCell ref="K15:L16"/>
    <mergeCell ref="J80:L81"/>
    <mergeCell ref="J82:L83"/>
    <mergeCell ref="A80:A81"/>
    <mergeCell ref="A7:A8"/>
    <mergeCell ref="A9:A10"/>
    <mergeCell ref="A11:A12"/>
    <mergeCell ref="A13:A14"/>
    <mergeCell ref="A15:A16"/>
    <mergeCell ref="A19:A21"/>
    <mergeCell ref="B19:B20"/>
    <mergeCell ref="A22:A23"/>
    <mergeCell ref="A24:A25"/>
    <mergeCell ref="A26:A27"/>
    <mergeCell ref="A28:A29"/>
    <mergeCell ref="A30:A31"/>
    <mergeCell ref="A35:A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A9B6-BE49-49D1-A483-642977786133}">
  <dimension ref="A1:H47"/>
  <sheetViews>
    <sheetView workbookViewId="0">
      <selection activeCell="G7" sqref="G7"/>
    </sheetView>
  </sheetViews>
  <sheetFormatPr defaultRowHeight="15" x14ac:dyDescent="0.2"/>
  <cols>
    <col min="1" max="3" width="15.6015625" customWidth="1"/>
    <col min="4" max="4" width="21.65625" bestFit="1" customWidth="1"/>
    <col min="5" max="5" width="15.6015625" customWidth="1"/>
    <col min="6" max="6" width="21.38671875" style="3" customWidth="1"/>
    <col min="7" max="7" width="15.6015625" customWidth="1"/>
    <col min="8" max="8" width="80.30859375" style="99" bestFit="1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32">
        <v>46132</v>
      </c>
      <c r="B4" s="8" t="s">
        <v>9</v>
      </c>
      <c r="C4" s="8" t="s">
        <v>320</v>
      </c>
      <c r="D4" s="8" t="s">
        <v>785</v>
      </c>
      <c r="E4" s="8" t="s">
        <v>11</v>
      </c>
      <c r="F4" s="49">
        <v>0.39166666666666666</v>
      </c>
      <c r="G4" s="48" t="s">
        <v>18</v>
      </c>
      <c r="H4" s="98"/>
    </row>
    <row r="5" spans="1:8" x14ac:dyDescent="0.2">
      <c r="A5" s="333"/>
      <c r="B5" s="8" t="s">
        <v>14</v>
      </c>
      <c r="C5" s="8" t="s">
        <v>307</v>
      </c>
      <c r="D5" s="8" t="s">
        <v>786</v>
      </c>
      <c r="E5" s="8" t="s">
        <v>16</v>
      </c>
      <c r="F5" s="49">
        <v>0.56388888888888888</v>
      </c>
      <c r="G5" s="47" t="s">
        <v>13</v>
      </c>
      <c r="H5" s="98" t="s">
        <v>787</v>
      </c>
    </row>
    <row r="6" spans="1:8" x14ac:dyDescent="0.2">
      <c r="A6" s="333"/>
      <c r="B6" s="8" t="s">
        <v>20</v>
      </c>
      <c r="C6" s="10"/>
      <c r="D6" s="10"/>
      <c r="E6" s="8" t="s">
        <v>21</v>
      </c>
      <c r="F6" s="7"/>
      <c r="G6" s="10"/>
      <c r="H6" s="98"/>
    </row>
    <row r="7" spans="1:8" x14ac:dyDescent="0.2">
      <c r="A7" s="333"/>
      <c r="B7" s="8" t="s">
        <v>22</v>
      </c>
      <c r="C7" s="8" t="s">
        <v>305</v>
      </c>
      <c r="D7" s="8" t="s">
        <v>788</v>
      </c>
      <c r="E7" s="8" t="s">
        <v>24</v>
      </c>
      <c r="F7" s="49">
        <v>0.64652777777777781</v>
      </c>
      <c r="G7" s="48" t="s">
        <v>18</v>
      </c>
      <c r="H7" s="98"/>
    </row>
    <row r="8" spans="1:8" x14ac:dyDescent="0.2">
      <c r="A8" s="333"/>
      <c r="B8" s="8" t="s">
        <v>26</v>
      </c>
      <c r="C8" s="8" t="s">
        <v>316</v>
      </c>
      <c r="D8" s="8" t="s">
        <v>789</v>
      </c>
      <c r="E8" s="8" t="s">
        <v>28</v>
      </c>
      <c r="F8" s="49">
        <v>0.66736111111111107</v>
      </c>
      <c r="G8" s="47" t="s">
        <v>13</v>
      </c>
      <c r="H8" s="98" t="s">
        <v>790</v>
      </c>
    </row>
    <row r="9" spans="1:8" x14ac:dyDescent="0.2">
      <c r="A9" s="333"/>
      <c r="B9" s="8" t="s">
        <v>26</v>
      </c>
      <c r="C9" s="8" t="s">
        <v>791</v>
      </c>
      <c r="D9" s="8" t="s">
        <v>792</v>
      </c>
      <c r="E9" s="8" t="s">
        <v>28</v>
      </c>
      <c r="F9" s="49">
        <v>0.64652777777777781</v>
      </c>
      <c r="G9" s="48" t="s">
        <v>18</v>
      </c>
      <c r="H9" s="98"/>
    </row>
    <row r="10" spans="1:8" x14ac:dyDescent="0.2">
      <c r="A10" s="333"/>
      <c r="B10" s="8" t="s">
        <v>26</v>
      </c>
      <c r="C10" s="8" t="s">
        <v>793</v>
      </c>
      <c r="D10" s="8" t="s">
        <v>339</v>
      </c>
      <c r="E10" s="8" t="s">
        <v>28</v>
      </c>
      <c r="F10" s="49">
        <v>0.68125000000000002</v>
      </c>
      <c r="G10" s="47" t="s">
        <v>13</v>
      </c>
      <c r="H10" s="98" t="s">
        <v>794</v>
      </c>
    </row>
    <row r="11" spans="1:8" x14ac:dyDescent="0.2">
      <c r="A11" s="334"/>
      <c r="B11" s="8" t="s">
        <v>26</v>
      </c>
      <c r="C11" s="8"/>
      <c r="D11" s="8"/>
      <c r="E11" s="8" t="s">
        <v>28</v>
      </c>
      <c r="F11" s="49"/>
      <c r="G11" s="78"/>
      <c r="H11" s="98"/>
    </row>
    <row r="13" spans="1:8" x14ac:dyDescent="0.2">
      <c r="A13" s="332">
        <v>46133</v>
      </c>
      <c r="B13" s="8" t="s">
        <v>9</v>
      </c>
      <c r="C13" s="8" t="s">
        <v>301</v>
      </c>
      <c r="D13" s="8" t="s">
        <v>795</v>
      </c>
      <c r="E13" s="8" t="s">
        <v>11</v>
      </c>
      <c r="F13" s="49">
        <v>0.42152777777777778</v>
      </c>
      <c r="G13" s="47" t="s">
        <v>13</v>
      </c>
      <c r="H13" s="98" t="s">
        <v>796</v>
      </c>
    </row>
    <row r="14" spans="1:8" x14ac:dyDescent="0.2">
      <c r="A14" s="333"/>
      <c r="B14" s="8" t="s">
        <v>315</v>
      </c>
      <c r="C14" s="8" t="s">
        <v>336</v>
      </c>
      <c r="D14" s="8" t="s">
        <v>797</v>
      </c>
      <c r="E14" s="8" t="s">
        <v>11</v>
      </c>
      <c r="F14" s="49">
        <v>0.43194444444444446</v>
      </c>
      <c r="G14" s="47" t="s">
        <v>13</v>
      </c>
      <c r="H14" s="98" t="s">
        <v>798</v>
      </c>
    </row>
    <row r="15" spans="1:8" x14ac:dyDescent="0.2">
      <c r="A15" s="333"/>
      <c r="B15" s="8" t="s">
        <v>14</v>
      </c>
      <c r="C15" s="8" t="s">
        <v>320</v>
      </c>
      <c r="D15" s="8" t="s">
        <v>799</v>
      </c>
      <c r="E15" s="8" t="s">
        <v>16</v>
      </c>
      <c r="F15" s="49">
        <v>0.54027777777777775</v>
      </c>
      <c r="G15" s="48" t="s">
        <v>18</v>
      </c>
      <c r="H15" s="98"/>
    </row>
    <row r="16" spans="1:8" x14ac:dyDescent="0.2">
      <c r="A16" s="333"/>
      <c r="B16" s="8" t="s">
        <v>20</v>
      </c>
      <c r="C16" s="10"/>
      <c r="D16" s="10"/>
      <c r="E16" s="8" t="s">
        <v>21</v>
      </c>
      <c r="F16" s="7"/>
      <c r="G16" s="10"/>
      <c r="H16" s="98"/>
    </row>
    <row r="17" spans="1:8" x14ac:dyDescent="0.2">
      <c r="A17" s="333"/>
      <c r="B17" s="8" t="s">
        <v>22</v>
      </c>
      <c r="C17" s="8" t="s">
        <v>305</v>
      </c>
      <c r="D17" s="8" t="s">
        <v>306</v>
      </c>
      <c r="E17" s="8" t="s">
        <v>24</v>
      </c>
      <c r="F17" s="49">
        <v>0.70833333333333337</v>
      </c>
      <c r="G17" s="48" t="s">
        <v>18</v>
      </c>
      <c r="H17" s="98"/>
    </row>
    <row r="18" spans="1:8" x14ac:dyDescent="0.2">
      <c r="A18" s="333"/>
      <c r="B18" s="8" t="s">
        <v>26</v>
      </c>
      <c r="C18" s="8" t="s">
        <v>307</v>
      </c>
      <c r="D18" s="8" t="s">
        <v>308</v>
      </c>
      <c r="E18" s="8" t="s">
        <v>28</v>
      </c>
      <c r="F18" s="49">
        <v>0.65625</v>
      </c>
      <c r="G18" s="48" t="s">
        <v>18</v>
      </c>
      <c r="H18" s="98"/>
    </row>
    <row r="19" spans="1:8" x14ac:dyDescent="0.2">
      <c r="A19" s="333"/>
      <c r="B19" s="8" t="s">
        <v>26</v>
      </c>
      <c r="C19" s="8"/>
      <c r="D19" s="8"/>
      <c r="E19" s="8" t="s">
        <v>28</v>
      </c>
      <c r="F19" s="49"/>
      <c r="G19" s="79"/>
      <c r="H19" s="98"/>
    </row>
    <row r="20" spans="1:8" x14ac:dyDescent="0.2">
      <c r="A20" s="334"/>
      <c r="B20" s="8" t="s">
        <v>26</v>
      </c>
      <c r="C20" s="8"/>
      <c r="D20" s="8"/>
      <c r="E20" s="8" t="s">
        <v>28</v>
      </c>
      <c r="F20" s="49"/>
      <c r="G20" s="79"/>
      <c r="H20" s="98"/>
    </row>
    <row r="22" spans="1:8" x14ac:dyDescent="0.2">
      <c r="A22" s="332">
        <v>46134</v>
      </c>
      <c r="B22" s="8" t="s">
        <v>9</v>
      </c>
      <c r="C22" s="8" t="s">
        <v>305</v>
      </c>
      <c r="D22" s="8" t="s">
        <v>306</v>
      </c>
      <c r="E22" s="8" t="s">
        <v>11</v>
      </c>
      <c r="F22" s="49">
        <v>0.38194444444444442</v>
      </c>
      <c r="G22" s="48" t="s">
        <v>18</v>
      </c>
      <c r="H22" s="98"/>
    </row>
    <row r="23" spans="1:8" x14ac:dyDescent="0.2">
      <c r="A23" s="333"/>
      <c r="B23" s="8" t="s">
        <v>14</v>
      </c>
      <c r="C23" s="8" t="s">
        <v>320</v>
      </c>
      <c r="D23" s="8" t="s">
        <v>799</v>
      </c>
      <c r="E23" s="8" t="s">
        <v>16</v>
      </c>
      <c r="F23" s="49">
        <v>0.54027777777777775</v>
      </c>
      <c r="G23" s="48" t="s">
        <v>18</v>
      </c>
      <c r="H23" s="98"/>
    </row>
    <row r="24" spans="1:8" x14ac:dyDescent="0.2">
      <c r="A24" s="333"/>
      <c r="B24" s="8" t="s">
        <v>20</v>
      </c>
      <c r="C24" s="8"/>
      <c r="D24" s="8"/>
      <c r="E24" s="8" t="s">
        <v>21</v>
      </c>
      <c r="F24" s="49"/>
      <c r="G24" s="79"/>
      <c r="H24" s="98"/>
    </row>
    <row r="25" spans="1:8" x14ac:dyDescent="0.2">
      <c r="A25" s="333"/>
      <c r="B25" s="8" t="s">
        <v>22</v>
      </c>
      <c r="C25" s="8" t="s">
        <v>326</v>
      </c>
      <c r="D25" s="8" t="s">
        <v>795</v>
      </c>
      <c r="E25" s="8" t="s">
        <v>24</v>
      </c>
      <c r="F25" s="49">
        <v>0.65416666666666667</v>
      </c>
      <c r="G25" s="48" t="s">
        <v>18</v>
      </c>
      <c r="H25" s="98"/>
    </row>
    <row r="26" spans="1:8" x14ac:dyDescent="0.2">
      <c r="A26" s="333"/>
      <c r="B26" s="8" t="s">
        <v>26</v>
      </c>
      <c r="C26" s="8" t="s">
        <v>336</v>
      </c>
      <c r="D26" s="8" t="s">
        <v>561</v>
      </c>
      <c r="E26" s="8" t="s">
        <v>28</v>
      </c>
      <c r="F26" s="49">
        <v>0.68055555555555558</v>
      </c>
      <c r="G26" s="47" t="s">
        <v>13</v>
      </c>
      <c r="H26" s="98" t="s">
        <v>800</v>
      </c>
    </row>
    <row r="27" spans="1:8" x14ac:dyDescent="0.2">
      <c r="A27" s="333"/>
      <c r="B27" s="8" t="s">
        <v>26</v>
      </c>
      <c r="C27" s="8"/>
      <c r="D27" s="8"/>
      <c r="E27" s="8" t="s">
        <v>28</v>
      </c>
      <c r="F27" s="49"/>
      <c r="G27" s="79"/>
      <c r="H27" s="98"/>
    </row>
    <row r="28" spans="1:8" x14ac:dyDescent="0.2">
      <c r="A28" s="333"/>
      <c r="B28" s="8" t="s">
        <v>26</v>
      </c>
      <c r="C28" s="8"/>
      <c r="D28" s="8"/>
      <c r="E28" s="8" t="s">
        <v>28</v>
      </c>
      <c r="F28" s="49"/>
      <c r="G28" s="79"/>
      <c r="H28" s="98"/>
    </row>
    <row r="30" spans="1:8" x14ac:dyDescent="0.2">
      <c r="A30" s="332">
        <v>46137</v>
      </c>
      <c r="B30" s="8" t="s">
        <v>9</v>
      </c>
      <c r="C30" s="8" t="s">
        <v>801</v>
      </c>
      <c r="D30" s="8" t="s">
        <v>802</v>
      </c>
      <c r="E30" s="8" t="s">
        <v>11</v>
      </c>
      <c r="F30" s="49">
        <v>0.4201388888888889</v>
      </c>
      <c r="G30" s="47" t="s">
        <v>13</v>
      </c>
      <c r="H30" s="98" t="s">
        <v>803</v>
      </c>
    </row>
    <row r="31" spans="1:8" x14ac:dyDescent="0.2">
      <c r="A31" s="333"/>
      <c r="B31" s="8" t="s">
        <v>9</v>
      </c>
      <c r="C31" s="8" t="s">
        <v>326</v>
      </c>
      <c r="D31" s="8" t="s">
        <v>804</v>
      </c>
      <c r="E31" s="8" t="s">
        <v>11</v>
      </c>
      <c r="F31" s="49">
        <v>0.39166666666666666</v>
      </c>
      <c r="G31" s="48" t="s">
        <v>18</v>
      </c>
      <c r="H31" s="98"/>
    </row>
    <row r="32" spans="1:8" x14ac:dyDescent="0.2">
      <c r="A32" s="333"/>
      <c r="B32" s="8" t="s">
        <v>14</v>
      </c>
      <c r="C32" s="8" t="s">
        <v>320</v>
      </c>
      <c r="D32" s="8" t="s">
        <v>805</v>
      </c>
      <c r="E32" s="8" t="s">
        <v>16</v>
      </c>
      <c r="F32" s="49">
        <v>0.52569444444444446</v>
      </c>
      <c r="G32" s="48" t="s">
        <v>18</v>
      </c>
      <c r="H32" s="98"/>
    </row>
    <row r="33" spans="1:8" x14ac:dyDescent="0.2">
      <c r="A33" s="333"/>
      <c r="B33" s="8" t="s">
        <v>20</v>
      </c>
      <c r="C33" s="8"/>
      <c r="D33" s="8"/>
      <c r="E33" s="8" t="s">
        <v>21</v>
      </c>
      <c r="F33" s="49"/>
      <c r="G33" s="79"/>
      <c r="H33" s="98"/>
    </row>
    <row r="34" spans="1:8" x14ac:dyDescent="0.2">
      <c r="A34" s="333"/>
      <c r="B34" s="8" t="s">
        <v>22</v>
      </c>
      <c r="C34" s="8" t="s">
        <v>305</v>
      </c>
      <c r="D34" s="8" t="s">
        <v>806</v>
      </c>
      <c r="E34" s="8" t="s">
        <v>24</v>
      </c>
      <c r="F34" s="49">
        <v>0.59027777777777779</v>
      </c>
      <c r="G34" s="48" t="s">
        <v>18</v>
      </c>
      <c r="H34" s="98"/>
    </row>
    <row r="35" spans="1:8" x14ac:dyDescent="0.2">
      <c r="A35" s="333"/>
      <c r="B35" s="8" t="s">
        <v>26</v>
      </c>
      <c r="C35" s="8" t="s">
        <v>309</v>
      </c>
      <c r="D35" s="8" t="s">
        <v>310</v>
      </c>
      <c r="E35" s="8" t="s">
        <v>28</v>
      </c>
      <c r="F35" s="49">
        <v>0.65277777777777779</v>
      </c>
      <c r="G35" s="48" t="s">
        <v>18</v>
      </c>
      <c r="H35" s="98"/>
    </row>
    <row r="36" spans="1:8" x14ac:dyDescent="0.2">
      <c r="A36" s="333"/>
      <c r="B36" s="8" t="s">
        <v>26</v>
      </c>
      <c r="C36" s="8"/>
      <c r="D36" s="8"/>
      <c r="E36" s="8" t="s">
        <v>28</v>
      </c>
      <c r="F36" s="7"/>
      <c r="G36" s="8"/>
      <c r="H36" s="98"/>
    </row>
    <row r="37" spans="1:8" x14ac:dyDescent="0.2">
      <c r="A37" s="333"/>
      <c r="B37" s="8" t="s">
        <v>26</v>
      </c>
      <c r="C37" s="8"/>
      <c r="D37" s="8"/>
      <c r="E37" s="8" t="s">
        <v>28</v>
      </c>
      <c r="F37" s="7"/>
      <c r="G37" s="8"/>
      <c r="H37" s="98"/>
    </row>
    <row r="38" spans="1:8" x14ac:dyDescent="0.2">
      <c r="A38" s="334"/>
      <c r="B38" s="8" t="s">
        <v>26</v>
      </c>
      <c r="C38" s="8"/>
      <c r="D38" s="8"/>
      <c r="E38" s="8" t="s">
        <v>28</v>
      </c>
      <c r="F38" s="7"/>
      <c r="G38" s="8"/>
      <c r="H38" s="98"/>
    </row>
    <row r="40" spans="1:8" x14ac:dyDescent="0.2">
      <c r="A40" s="332">
        <v>46138</v>
      </c>
      <c r="B40" s="8" t="s">
        <v>9</v>
      </c>
      <c r="C40" s="8" t="s">
        <v>305</v>
      </c>
      <c r="D40" s="8" t="s">
        <v>807</v>
      </c>
      <c r="E40" s="8" t="s">
        <v>11</v>
      </c>
      <c r="F40" s="49">
        <v>0.40833333333333333</v>
      </c>
      <c r="G40" s="48" t="s">
        <v>18</v>
      </c>
      <c r="H40" s="98"/>
    </row>
    <row r="41" spans="1:8" x14ac:dyDescent="0.2">
      <c r="A41" s="333"/>
      <c r="B41" s="8" t="s">
        <v>14</v>
      </c>
      <c r="C41" s="8" t="s">
        <v>808</v>
      </c>
      <c r="D41" s="8" t="s">
        <v>321</v>
      </c>
      <c r="E41" s="8" t="s">
        <v>16</v>
      </c>
      <c r="F41" s="49">
        <v>0.6020833333333333</v>
      </c>
      <c r="G41" s="47" t="s">
        <v>13</v>
      </c>
      <c r="H41" s="98" t="s">
        <v>809</v>
      </c>
    </row>
    <row r="42" spans="1:8" x14ac:dyDescent="0.2">
      <c r="A42" s="333"/>
      <c r="B42" s="8" t="s">
        <v>20</v>
      </c>
      <c r="C42" s="8" t="s">
        <v>326</v>
      </c>
      <c r="D42" s="8" t="s">
        <v>804</v>
      </c>
      <c r="E42" s="8" t="s">
        <v>21</v>
      </c>
      <c r="F42" s="49">
        <v>0.70763888888888893</v>
      </c>
      <c r="G42" s="47" t="s">
        <v>13</v>
      </c>
      <c r="H42" s="98" t="s">
        <v>810</v>
      </c>
    </row>
    <row r="43" spans="1:8" x14ac:dyDescent="0.2">
      <c r="A43" s="333"/>
      <c r="B43" s="8" t="s">
        <v>22</v>
      </c>
      <c r="C43" s="8" t="s">
        <v>326</v>
      </c>
      <c r="D43" s="8" t="s">
        <v>804</v>
      </c>
      <c r="E43" s="8" t="s">
        <v>24</v>
      </c>
      <c r="F43" s="49">
        <v>0.70763888888888893</v>
      </c>
      <c r="G43" s="47" t="s">
        <v>13</v>
      </c>
      <c r="H43" s="98" t="s">
        <v>810</v>
      </c>
    </row>
    <row r="44" spans="1:8" x14ac:dyDescent="0.2">
      <c r="A44" s="333"/>
      <c r="B44" s="8" t="s">
        <v>26</v>
      </c>
      <c r="C44" s="8" t="s">
        <v>811</v>
      </c>
      <c r="D44" s="8" t="s">
        <v>554</v>
      </c>
      <c r="E44" s="8" t="s">
        <v>28</v>
      </c>
      <c r="F44" s="49">
        <v>0.6645833333333333</v>
      </c>
      <c r="G44" s="48" t="s">
        <v>18</v>
      </c>
      <c r="H44" s="98"/>
    </row>
    <row r="45" spans="1:8" x14ac:dyDescent="0.2">
      <c r="A45" s="333"/>
      <c r="B45" s="8" t="s">
        <v>26</v>
      </c>
      <c r="C45" s="8" t="s">
        <v>303</v>
      </c>
      <c r="D45" s="8" t="s">
        <v>304</v>
      </c>
      <c r="E45" s="8" t="s">
        <v>28</v>
      </c>
      <c r="F45" s="49">
        <v>0.73263888888888884</v>
      </c>
      <c r="G45" s="47" t="s">
        <v>13</v>
      </c>
      <c r="H45" s="98" t="s">
        <v>812</v>
      </c>
    </row>
    <row r="46" spans="1:8" x14ac:dyDescent="0.2">
      <c r="A46" s="333"/>
      <c r="B46" s="8" t="s">
        <v>26</v>
      </c>
      <c r="C46" s="8"/>
      <c r="D46" s="8"/>
      <c r="E46" s="8" t="s">
        <v>28</v>
      </c>
      <c r="F46" s="7"/>
      <c r="G46" s="10"/>
      <c r="H46" s="98"/>
    </row>
    <row r="47" spans="1:8" x14ac:dyDescent="0.2">
      <c r="A47" s="334"/>
      <c r="B47" s="8" t="s">
        <v>26</v>
      </c>
      <c r="C47" s="8"/>
      <c r="D47" s="8"/>
      <c r="E47" s="8" t="s">
        <v>28</v>
      </c>
      <c r="F47" s="7"/>
      <c r="G47" s="10"/>
      <c r="H47" s="98"/>
    </row>
  </sheetData>
  <mergeCells count="5">
    <mergeCell ref="A4:A11"/>
    <mergeCell ref="A13:A20"/>
    <mergeCell ref="A22:A28"/>
    <mergeCell ref="A30:A38"/>
    <mergeCell ref="A40:A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050A-D5FA-4ED4-BA9B-2F92E2024A29}">
  <dimension ref="A1:O87"/>
  <sheetViews>
    <sheetView topLeftCell="E31" workbookViewId="0">
      <selection activeCell="R40" sqref="R40"/>
    </sheetView>
  </sheetViews>
  <sheetFormatPr defaultRowHeight="15" x14ac:dyDescent="0.2"/>
  <cols>
    <col min="1" max="1" width="10.492187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35">
        <v>46132</v>
      </c>
      <c r="B7" s="53" t="s">
        <v>813</v>
      </c>
      <c r="C7" s="53" t="s">
        <v>814</v>
      </c>
      <c r="D7" s="53" t="s">
        <v>814</v>
      </c>
      <c r="E7" s="53"/>
      <c r="F7" s="53"/>
      <c r="G7" s="53"/>
      <c r="H7" s="74" t="s">
        <v>815</v>
      </c>
      <c r="I7" s="56" t="s">
        <v>816</v>
      </c>
      <c r="J7" s="56" t="s">
        <v>816</v>
      </c>
      <c r="K7" s="364"/>
      <c r="L7" s="364"/>
    </row>
    <row r="8" spans="1:12" ht="68.25" x14ac:dyDescent="0.2">
      <c r="A8" s="335"/>
      <c r="B8" s="9" t="s">
        <v>817</v>
      </c>
      <c r="C8" s="9" t="s">
        <v>818</v>
      </c>
      <c r="D8" s="9" t="s">
        <v>819</v>
      </c>
      <c r="E8" s="9"/>
      <c r="F8" s="9"/>
      <c r="G8" s="9"/>
      <c r="H8" s="9">
        <v>8260098664</v>
      </c>
      <c r="I8" s="9">
        <v>8260098662</v>
      </c>
      <c r="J8" s="9">
        <v>8260098663</v>
      </c>
      <c r="K8" s="364"/>
      <c r="L8" s="364"/>
    </row>
    <row r="9" spans="1:12" x14ac:dyDescent="0.2">
      <c r="A9" s="336">
        <v>46133</v>
      </c>
      <c r="B9" s="51" t="s">
        <v>820</v>
      </c>
      <c r="C9" s="51" t="s">
        <v>821</v>
      </c>
      <c r="D9" s="51" t="s">
        <v>822</v>
      </c>
      <c r="E9" s="63" t="s">
        <v>823</v>
      </c>
      <c r="F9" s="63" t="s">
        <v>824</v>
      </c>
      <c r="G9" s="16"/>
      <c r="H9" s="63" t="s">
        <v>825</v>
      </c>
      <c r="I9" s="63" t="s">
        <v>826</v>
      </c>
      <c r="J9" s="84" t="s">
        <v>826</v>
      </c>
      <c r="K9" s="365" t="s">
        <v>827</v>
      </c>
      <c r="L9" s="365"/>
    </row>
    <row r="10" spans="1:12" ht="45" customHeight="1" x14ac:dyDescent="0.2">
      <c r="A10" s="336"/>
      <c r="B10" s="9" t="s">
        <v>828</v>
      </c>
      <c r="C10" s="9" t="s">
        <v>829</v>
      </c>
      <c r="D10" s="9" t="s">
        <v>830</v>
      </c>
      <c r="E10" s="9" t="s">
        <v>831</v>
      </c>
      <c r="F10" s="9" t="s">
        <v>832</v>
      </c>
      <c r="G10" s="9"/>
      <c r="H10" s="9">
        <v>8260098728</v>
      </c>
      <c r="I10" s="9">
        <v>8260098727</v>
      </c>
      <c r="J10" s="9">
        <v>8260098726</v>
      </c>
      <c r="K10" s="365"/>
      <c r="L10" s="365"/>
    </row>
    <row r="11" spans="1:12" ht="15" customHeight="1" x14ac:dyDescent="0.2">
      <c r="A11" s="336">
        <v>46134</v>
      </c>
      <c r="B11" s="66" t="s">
        <v>833</v>
      </c>
      <c r="C11" s="66" t="s">
        <v>834</v>
      </c>
      <c r="D11" s="66" t="s">
        <v>834</v>
      </c>
      <c r="E11" s="66"/>
      <c r="F11" s="66"/>
      <c r="G11" s="66"/>
      <c r="H11" s="86" t="s">
        <v>835</v>
      </c>
      <c r="I11" s="71" t="s">
        <v>836</v>
      </c>
      <c r="J11" s="71" t="s">
        <v>836</v>
      </c>
      <c r="K11" s="278"/>
      <c r="L11" s="278"/>
    </row>
    <row r="12" spans="1:12" ht="45" customHeight="1" x14ac:dyDescent="0.2">
      <c r="A12" s="336"/>
      <c r="B12" s="9" t="s">
        <v>837</v>
      </c>
      <c r="C12" s="9">
        <v>8260098733</v>
      </c>
      <c r="D12" s="9">
        <v>8260098734</v>
      </c>
      <c r="E12" s="9"/>
      <c r="F12" s="9"/>
      <c r="G12" s="9"/>
      <c r="H12" s="9">
        <v>8260098800</v>
      </c>
      <c r="I12" s="9">
        <v>8260098801</v>
      </c>
      <c r="J12" s="9">
        <v>8260098799</v>
      </c>
      <c r="K12" s="278"/>
      <c r="L12" s="278"/>
    </row>
    <row r="13" spans="1:12" x14ac:dyDescent="0.2">
      <c r="A13" s="336">
        <v>46135</v>
      </c>
      <c r="B13" s="47" t="s">
        <v>838</v>
      </c>
      <c r="C13" s="47" t="s">
        <v>839</v>
      </c>
      <c r="D13" s="47" t="s">
        <v>839</v>
      </c>
      <c r="E13" s="66" t="s">
        <v>840</v>
      </c>
      <c r="F13" s="66" t="s">
        <v>841</v>
      </c>
      <c r="G13" s="66"/>
      <c r="H13" s="86" t="s">
        <v>842</v>
      </c>
      <c r="I13" s="71" t="s">
        <v>843</v>
      </c>
      <c r="J13" s="71" t="s">
        <v>843</v>
      </c>
      <c r="K13" s="369" t="s">
        <v>844</v>
      </c>
      <c r="L13" s="369"/>
    </row>
    <row r="14" spans="1:12" ht="68.25" x14ac:dyDescent="0.2">
      <c r="A14" s="336"/>
      <c r="B14" s="9" t="s">
        <v>845</v>
      </c>
      <c r="C14" s="9">
        <v>8260098814</v>
      </c>
      <c r="D14" s="9">
        <v>8260098818</v>
      </c>
      <c r="E14" s="9">
        <v>8260098813</v>
      </c>
      <c r="F14" s="7">
        <v>8260098811</v>
      </c>
      <c r="G14" s="7"/>
      <c r="H14" s="7">
        <v>8260098874</v>
      </c>
      <c r="I14" s="9" t="s">
        <v>846</v>
      </c>
      <c r="J14" s="7">
        <v>8260098871</v>
      </c>
      <c r="K14" s="369"/>
      <c r="L14" s="369"/>
    </row>
    <row r="15" spans="1:12" ht="15" customHeight="1" x14ac:dyDescent="0.2">
      <c r="A15" s="336">
        <v>46137</v>
      </c>
      <c r="B15" s="47" t="s">
        <v>847</v>
      </c>
      <c r="C15" s="47" t="s">
        <v>848</v>
      </c>
      <c r="D15" s="47" t="s">
        <v>848</v>
      </c>
      <c r="E15" s="66"/>
      <c r="F15" s="66"/>
      <c r="G15" s="66"/>
      <c r="H15" s="66" t="s">
        <v>849</v>
      </c>
      <c r="I15" s="66" t="s">
        <v>850</v>
      </c>
      <c r="J15" s="66" t="s">
        <v>851</v>
      </c>
      <c r="K15" s="369" t="s">
        <v>844</v>
      </c>
      <c r="L15" s="369"/>
    </row>
    <row r="16" spans="1:12" ht="45" customHeight="1" x14ac:dyDescent="0.2">
      <c r="A16" s="336"/>
      <c r="B16" s="9" t="s">
        <v>852</v>
      </c>
      <c r="C16" s="9" t="s">
        <v>853</v>
      </c>
      <c r="D16" s="9" t="s">
        <v>854</v>
      </c>
      <c r="E16" s="9"/>
      <c r="F16" s="9"/>
      <c r="G16" s="9"/>
      <c r="H16" s="7">
        <v>8260098946</v>
      </c>
      <c r="I16" s="9">
        <v>8260098947</v>
      </c>
      <c r="J16" s="7">
        <v>8260098948</v>
      </c>
      <c r="K16" s="369"/>
      <c r="L16" s="369"/>
    </row>
    <row r="17" spans="1:7" x14ac:dyDescent="0.2">
      <c r="C17" s="2"/>
      <c r="D17" s="2"/>
      <c r="E17" s="2"/>
      <c r="F17" s="2"/>
      <c r="G17" s="2"/>
    </row>
    <row r="18" spans="1:7" x14ac:dyDescent="0.2">
      <c r="C18" s="2"/>
      <c r="D18" s="2"/>
      <c r="E18" s="2"/>
      <c r="F18" s="2"/>
      <c r="G18" s="2"/>
    </row>
    <row r="19" spans="1:7" ht="15" customHeight="1" x14ac:dyDescent="0.2">
      <c r="A19" s="280" t="s">
        <v>34</v>
      </c>
      <c r="B19" s="286" t="s">
        <v>379</v>
      </c>
      <c r="C19" s="286" t="s">
        <v>83</v>
      </c>
      <c r="D19" s="286" t="s">
        <v>84</v>
      </c>
      <c r="E19" s="282" t="s">
        <v>8</v>
      </c>
      <c r="F19" s="282"/>
      <c r="G19" s="282"/>
    </row>
    <row r="20" spans="1:7" x14ac:dyDescent="0.2">
      <c r="A20" s="280"/>
      <c r="B20" s="286"/>
      <c r="C20" s="286"/>
      <c r="D20" s="286"/>
      <c r="E20" s="282"/>
      <c r="F20" s="282"/>
      <c r="G20" s="282"/>
    </row>
    <row r="21" spans="1:7" x14ac:dyDescent="0.2">
      <c r="A21" s="280"/>
      <c r="B21" s="14" t="s">
        <v>380</v>
      </c>
      <c r="C21" s="15" t="s">
        <v>381</v>
      </c>
      <c r="D21" s="15" t="s">
        <v>382</v>
      </c>
      <c r="E21" s="282"/>
      <c r="F21" s="282"/>
      <c r="G21" s="282"/>
    </row>
    <row r="22" spans="1:7" s="6" customFormat="1" ht="20.100000000000001" customHeight="1" x14ac:dyDescent="0.2">
      <c r="A22" s="335">
        <v>46132</v>
      </c>
      <c r="B22" s="53" t="s">
        <v>855</v>
      </c>
      <c r="C22" s="53"/>
      <c r="D22" s="53"/>
      <c r="E22" s="370"/>
      <c r="F22" s="370"/>
      <c r="G22" s="370"/>
    </row>
    <row r="23" spans="1:7" s="6" customFormat="1" ht="135" x14ac:dyDescent="0.2">
      <c r="A23" s="335"/>
      <c r="B23" s="9" t="s">
        <v>856</v>
      </c>
      <c r="C23" s="9"/>
      <c r="D23" s="7"/>
      <c r="E23" s="370"/>
      <c r="F23" s="370"/>
      <c r="G23" s="370"/>
    </row>
    <row r="24" spans="1:7" s="6" customFormat="1" ht="20.100000000000001" customHeight="1" x14ac:dyDescent="0.2">
      <c r="A24" s="336">
        <v>46133</v>
      </c>
      <c r="B24" s="51" t="s">
        <v>857</v>
      </c>
      <c r="C24" s="11"/>
      <c r="D24" s="11"/>
      <c r="E24" s="365" t="s">
        <v>827</v>
      </c>
      <c r="F24" s="365"/>
      <c r="G24" s="365"/>
    </row>
    <row r="25" spans="1:7" s="6" customFormat="1" ht="45" customHeight="1" x14ac:dyDescent="0.2">
      <c r="A25" s="336"/>
      <c r="B25" s="9" t="s">
        <v>858</v>
      </c>
      <c r="C25" s="7"/>
      <c r="D25" s="7"/>
      <c r="E25" s="365"/>
      <c r="F25" s="365"/>
      <c r="G25" s="365"/>
    </row>
    <row r="26" spans="1:7" s="6" customFormat="1" ht="20.100000000000001" customHeight="1" x14ac:dyDescent="0.2">
      <c r="A26" s="336">
        <v>46134</v>
      </c>
      <c r="B26" s="53" t="s">
        <v>859</v>
      </c>
      <c r="C26" s="11"/>
      <c r="D26" s="11"/>
      <c r="E26" s="341"/>
      <c r="F26" s="341"/>
      <c r="G26" s="341"/>
    </row>
    <row r="27" spans="1:7" s="6" customFormat="1" ht="45" customHeight="1" x14ac:dyDescent="0.2">
      <c r="A27" s="336"/>
      <c r="B27" s="9" t="s">
        <v>860</v>
      </c>
      <c r="C27" s="7"/>
      <c r="D27" s="7"/>
      <c r="E27" s="341"/>
      <c r="F27" s="341"/>
      <c r="G27" s="341"/>
    </row>
    <row r="28" spans="1:7" s="6" customFormat="1" ht="20.100000000000001" customHeight="1" x14ac:dyDescent="0.2">
      <c r="A28" s="336">
        <v>46135</v>
      </c>
      <c r="B28" s="74" t="s">
        <v>861</v>
      </c>
      <c r="C28" s="56"/>
      <c r="D28" s="11"/>
      <c r="E28" s="341"/>
      <c r="F28" s="341"/>
      <c r="G28" s="341"/>
    </row>
    <row r="29" spans="1:7" s="6" customFormat="1" ht="45" customHeight="1" x14ac:dyDescent="0.2">
      <c r="A29" s="336"/>
      <c r="B29" s="9" t="s">
        <v>862</v>
      </c>
      <c r="C29" s="9"/>
      <c r="D29" s="7"/>
      <c r="E29" s="341"/>
      <c r="F29" s="341"/>
      <c r="G29" s="341"/>
    </row>
    <row r="30" spans="1:7" s="6" customFormat="1" ht="20.100000000000001" customHeight="1" x14ac:dyDescent="0.2">
      <c r="A30" s="336">
        <v>46137</v>
      </c>
      <c r="B30" s="74" t="s">
        <v>863</v>
      </c>
      <c r="C30" s="56" t="s">
        <v>864</v>
      </c>
      <c r="D30" s="53"/>
      <c r="E30" s="341"/>
      <c r="F30" s="341"/>
      <c r="G30" s="341"/>
    </row>
    <row r="31" spans="1:7" s="6" customFormat="1" ht="81" x14ac:dyDescent="0.2">
      <c r="A31" s="336"/>
      <c r="B31" s="9" t="s">
        <v>865</v>
      </c>
      <c r="C31" s="7">
        <v>8260098945</v>
      </c>
      <c r="D31" s="7"/>
      <c r="E31" s="341"/>
      <c r="F31" s="341"/>
      <c r="G31" s="341"/>
    </row>
    <row r="32" spans="1:7" x14ac:dyDescent="0.2">
      <c r="C32" s="2"/>
      <c r="D32" s="2"/>
      <c r="E32" s="2"/>
      <c r="F32" s="2"/>
      <c r="G32" s="2"/>
    </row>
    <row r="33" spans="1:15" x14ac:dyDescent="0.2">
      <c r="C33" s="2"/>
      <c r="D33" s="2"/>
      <c r="E33" s="2"/>
      <c r="F33" s="2"/>
      <c r="G33" s="2"/>
    </row>
    <row r="34" spans="1:15" x14ac:dyDescent="0.2">
      <c r="A34" s="279" t="s">
        <v>96</v>
      </c>
      <c r="B34" s="279"/>
      <c r="C34" s="279"/>
      <c r="D34" s="279"/>
      <c r="E34" s="279"/>
      <c r="F34" s="279"/>
      <c r="G34" s="279"/>
      <c r="H34" s="279"/>
      <c r="I34" s="279"/>
      <c r="J34" s="279"/>
      <c r="K34" s="38"/>
      <c r="L34" s="38"/>
    </row>
    <row r="35" spans="1:15" ht="27.75" x14ac:dyDescent="0.2">
      <c r="A35" s="280" t="s">
        <v>34</v>
      </c>
      <c r="B35" s="4" t="s">
        <v>97</v>
      </c>
      <c r="C35" s="5" t="s">
        <v>98</v>
      </c>
      <c r="D35" s="5" t="s">
        <v>99</v>
      </c>
      <c r="E35" s="5" t="s">
        <v>100</v>
      </c>
      <c r="F35" s="5" t="s">
        <v>101</v>
      </c>
      <c r="G35" s="5" t="s">
        <v>102</v>
      </c>
      <c r="H35" s="291" t="s">
        <v>8</v>
      </c>
      <c r="I35" s="291"/>
      <c r="J35" s="291"/>
    </row>
    <row r="36" spans="1:15" x14ac:dyDescent="0.2">
      <c r="A36" s="280"/>
      <c r="B36" s="14" t="s">
        <v>103</v>
      </c>
      <c r="C36" s="15" t="s">
        <v>104</v>
      </c>
      <c r="D36" s="15" t="s">
        <v>42</v>
      </c>
      <c r="E36" s="15" t="s">
        <v>105</v>
      </c>
      <c r="F36" s="15" t="s">
        <v>106</v>
      </c>
      <c r="G36" s="15" t="s">
        <v>107</v>
      </c>
      <c r="H36" s="291"/>
      <c r="I36" s="291"/>
      <c r="J36" s="291"/>
    </row>
    <row r="37" spans="1:15" x14ac:dyDescent="0.2">
      <c r="A37" s="335">
        <v>46132</v>
      </c>
      <c r="B37" s="47" t="s">
        <v>866</v>
      </c>
      <c r="C37" s="66" t="s">
        <v>867</v>
      </c>
      <c r="D37" s="66" t="s">
        <v>868</v>
      </c>
      <c r="E37" s="66" t="s">
        <v>869</v>
      </c>
      <c r="F37" s="66" t="s">
        <v>870</v>
      </c>
      <c r="G37" s="66" t="s">
        <v>871</v>
      </c>
      <c r="H37" s="278" t="s">
        <v>872</v>
      </c>
      <c r="I37" s="278"/>
      <c r="J37" s="278"/>
    </row>
    <row r="38" spans="1:15" ht="45" customHeight="1" x14ac:dyDescent="0.2">
      <c r="A38" s="335"/>
      <c r="B38" s="9">
        <v>8260098654</v>
      </c>
      <c r="C38" s="9" t="s">
        <v>873</v>
      </c>
      <c r="D38" s="9">
        <v>8260098642</v>
      </c>
      <c r="E38" s="9">
        <v>8260098635</v>
      </c>
      <c r="F38" s="9" t="s">
        <v>874</v>
      </c>
      <c r="G38" s="9">
        <v>8260098632</v>
      </c>
      <c r="H38" s="278"/>
      <c r="I38" s="278"/>
      <c r="J38" s="278"/>
    </row>
    <row r="39" spans="1:15" x14ac:dyDescent="0.2">
      <c r="A39" s="336">
        <v>46133</v>
      </c>
      <c r="B39" s="47" t="s">
        <v>875</v>
      </c>
      <c r="C39" s="53" t="s">
        <v>876</v>
      </c>
      <c r="D39" s="53" t="s">
        <v>877</v>
      </c>
      <c r="E39" s="53" t="s">
        <v>878</v>
      </c>
      <c r="F39" s="53" t="s">
        <v>879</v>
      </c>
      <c r="G39" s="53" t="s">
        <v>880</v>
      </c>
      <c r="H39" s="319" t="s">
        <v>881</v>
      </c>
      <c r="I39" s="319"/>
      <c r="J39" s="319"/>
    </row>
    <row r="40" spans="1:15" ht="45" customHeight="1" x14ac:dyDescent="0.2">
      <c r="A40" s="336"/>
      <c r="B40" s="9">
        <v>8260098717</v>
      </c>
      <c r="C40" s="9" t="s">
        <v>882</v>
      </c>
      <c r="D40" s="7">
        <v>8260098705</v>
      </c>
      <c r="E40" s="7">
        <v>8260098699</v>
      </c>
      <c r="F40" s="9">
        <v>8260098706</v>
      </c>
      <c r="G40" s="7">
        <v>8260098716</v>
      </c>
      <c r="H40" s="319"/>
      <c r="I40" s="319"/>
      <c r="J40" s="319"/>
    </row>
    <row r="41" spans="1:15" x14ac:dyDescent="0.2">
      <c r="A41" s="336">
        <v>46134</v>
      </c>
      <c r="B41" s="47" t="s">
        <v>883</v>
      </c>
      <c r="C41" s="66" t="s">
        <v>884</v>
      </c>
      <c r="D41" s="66" t="s">
        <v>885</v>
      </c>
      <c r="E41" s="66" t="s">
        <v>886</v>
      </c>
      <c r="F41" s="66" t="s">
        <v>887</v>
      </c>
      <c r="G41" s="66"/>
      <c r="H41" s="278" t="s">
        <v>888</v>
      </c>
      <c r="I41" s="278"/>
      <c r="J41" s="278"/>
    </row>
    <row r="42" spans="1:15" ht="45" customHeight="1" x14ac:dyDescent="0.2">
      <c r="A42" s="336"/>
      <c r="B42" s="7">
        <v>8260098789</v>
      </c>
      <c r="C42" s="9" t="s">
        <v>889</v>
      </c>
      <c r="D42" s="7">
        <v>8260098778</v>
      </c>
      <c r="E42" s="7">
        <v>8260098781</v>
      </c>
      <c r="F42" s="9" t="s">
        <v>890</v>
      </c>
      <c r="G42" s="7"/>
      <c r="H42" s="278"/>
      <c r="I42" s="278"/>
      <c r="J42" s="278"/>
    </row>
    <row r="43" spans="1:15" ht="15" customHeight="1" x14ac:dyDescent="0.2">
      <c r="A43" s="336">
        <v>46135</v>
      </c>
      <c r="B43" s="66" t="s">
        <v>891</v>
      </c>
      <c r="C43" s="66" t="s">
        <v>892</v>
      </c>
      <c r="D43" s="66" t="s">
        <v>893</v>
      </c>
      <c r="E43" s="66" t="s">
        <v>894</v>
      </c>
      <c r="F43" s="66" t="s">
        <v>895</v>
      </c>
      <c r="G43" s="100" t="s">
        <v>896</v>
      </c>
      <c r="H43" s="278"/>
      <c r="I43" s="278"/>
      <c r="J43" s="278"/>
    </row>
    <row r="44" spans="1:15" ht="45" customHeight="1" x14ac:dyDescent="0.2">
      <c r="A44" s="336"/>
      <c r="B44" s="7">
        <v>8260098857</v>
      </c>
      <c r="C44" s="9" t="s">
        <v>897</v>
      </c>
      <c r="D44" s="7">
        <v>8260098861</v>
      </c>
      <c r="E44" s="7">
        <v>8260098850</v>
      </c>
      <c r="F44" s="7">
        <v>8260098842</v>
      </c>
      <c r="G44" s="7">
        <v>8260098848</v>
      </c>
      <c r="H44" s="278"/>
      <c r="I44" s="278"/>
      <c r="J44" s="278"/>
    </row>
    <row r="45" spans="1:15" x14ac:dyDescent="0.2">
      <c r="A45" s="336">
        <v>46137</v>
      </c>
      <c r="B45" s="66" t="s">
        <v>898</v>
      </c>
      <c r="C45" s="66" t="s">
        <v>899</v>
      </c>
      <c r="D45" s="66" t="s">
        <v>900</v>
      </c>
      <c r="E45" s="66" t="s">
        <v>901</v>
      </c>
      <c r="F45" s="66" t="s">
        <v>902</v>
      </c>
      <c r="G45" s="66" t="s">
        <v>896</v>
      </c>
      <c r="H45" s="331"/>
      <c r="I45" s="331"/>
      <c r="J45" s="331"/>
    </row>
    <row r="46" spans="1:15" s="6" customFormat="1" ht="45" customHeight="1" x14ac:dyDescent="0.2">
      <c r="A46" s="336"/>
      <c r="B46" s="7">
        <v>8260098930</v>
      </c>
      <c r="C46" s="9" t="s">
        <v>903</v>
      </c>
      <c r="D46" s="7">
        <v>8260098927</v>
      </c>
      <c r="E46" s="7">
        <v>8260098936</v>
      </c>
      <c r="F46" s="7">
        <v>8260098931</v>
      </c>
      <c r="G46" s="7">
        <v>8260098911</v>
      </c>
      <c r="H46" s="331"/>
      <c r="I46" s="331"/>
      <c r="J46" s="331"/>
    </row>
    <row r="47" spans="1:1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5" x14ac:dyDescent="0.2">
      <c r="A48" s="279" t="s">
        <v>143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38"/>
      <c r="N48" s="38"/>
      <c r="O48" s="38"/>
    </row>
    <row r="49" spans="1:12" ht="41.25" x14ac:dyDescent="0.2">
      <c r="A49" s="280" t="s">
        <v>34</v>
      </c>
      <c r="B49" s="5" t="s">
        <v>144</v>
      </c>
      <c r="C49" s="5" t="s">
        <v>145</v>
      </c>
      <c r="D49" s="5" t="s">
        <v>146</v>
      </c>
      <c r="E49" s="5" t="s">
        <v>662</v>
      </c>
      <c r="F49" s="5" t="s">
        <v>148</v>
      </c>
      <c r="G49" s="5" t="s">
        <v>149</v>
      </c>
      <c r="H49" s="5" t="s">
        <v>150</v>
      </c>
      <c r="I49" s="5" t="s">
        <v>151</v>
      </c>
      <c r="J49" s="5" t="s">
        <v>152</v>
      </c>
      <c r="K49" s="5" t="s">
        <v>663</v>
      </c>
      <c r="L49" s="282" t="s">
        <v>8</v>
      </c>
    </row>
    <row r="50" spans="1:12" x14ac:dyDescent="0.2">
      <c r="A50" s="280"/>
      <c r="B50" s="15" t="s">
        <v>153</v>
      </c>
      <c r="C50" s="15" t="s">
        <v>153</v>
      </c>
      <c r="D50" s="15" t="s">
        <v>154</v>
      </c>
      <c r="E50" s="15" t="s">
        <v>155</v>
      </c>
      <c r="F50" s="15" t="s">
        <v>156</v>
      </c>
      <c r="G50" s="15" t="s">
        <v>156</v>
      </c>
      <c r="H50" s="15" t="s">
        <v>45</v>
      </c>
      <c r="I50" s="15" t="s">
        <v>157</v>
      </c>
      <c r="J50" s="15" t="s">
        <v>157</v>
      </c>
      <c r="K50" s="15" t="s">
        <v>106</v>
      </c>
      <c r="L50" s="282"/>
    </row>
    <row r="51" spans="1:12" x14ac:dyDescent="0.2">
      <c r="A51" s="335">
        <v>46132</v>
      </c>
      <c r="B51" s="61" t="s">
        <v>904</v>
      </c>
      <c r="C51" s="61" t="s">
        <v>905</v>
      </c>
      <c r="D51" s="61" t="s">
        <v>906</v>
      </c>
      <c r="E51" s="61" t="s">
        <v>867</v>
      </c>
      <c r="F51" s="61" t="s">
        <v>907</v>
      </c>
      <c r="G51" s="61" t="s">
        <v>908</v>
      </c>
      <c r="H51" s="61" t="s">
        <v>909</v>
      </c>
      <c r="I51" s="61"/>
      <c r="J51" s="66"/>
      <c r="K51" s="66"/>
      <c r="L51" s="323"/>
    </row>
    <row r="52" spans="1:12" ht="45" customHeight="1" x14ac:dyDescent="0.2">
      <c r="A52" s="335"/>
      <c r="B52" s="9">
        <v>8260098626</v>
      </c>
      <c r="C52" s="9" t="s">
        <v>910</v>
      </c>
      <c r="D52" s="9">
        <v>8260098644</v>
      </c>
      <c r="E52" s="9">
        <v>8260098651</v>
      </c>
      <c r="F52" s="9">
        <v>8260098627</v>
      </c>
      <c r="G52" s="9">
        <v>8260098655</v>
      </c>
      <c r="H52" s="9">
        <v>8260098628</v>
      </c>
      <c r="I52" s="9"/>
      <c r="J52" s="9"/>
      <c r="K52" s="9"/>
      <c r="L52" s="325"/>
    </row>
    <row r="53" spans="1:12" x14ac:dyDescent="0.2">
      <c r="A53" s="336">
        <v>46133</v>
      </c>
      <c r="B53" s="61" t="s">
        <v>911</v>
      </c>
      <c r="C53" s="61" t="s">
        <v>912</v>
      </c>
      <c r="D53" s="61" t="s">
        <v>913</v>
      </c>
      <c r="E53" s="61" t="s">
        <v>914</v>
      </c>
      <c r="F53" s="61" t="s">
        <v>915</v>
      </c>
      <c r="G53" s="61" t="s">
        <v>916</v>
      </c>
      <c r="H53" s="61" t="s">
        <v>917</v>
      </c>
      <c r="I53" s="61"/>
      <c r="J53" s="66"/>
      <c r="K53" s="66" t="s">
        <v>918</v>
      </c>
      <c r="L53" s="323"/>
    </row>
    <row r="54" spans="1:12" ht="45" customHeight="1" x14ac:dyDescent="0.2">
      <c r="A54" s="336"/>
      <c r="B54" s="9">
        <v>8260098714</v>
      </c>
      <c r="C54" s="9" t="s">
        <v>919</v>
      </c>
      <c r="D54" s="9">
        <v>8260098700</v>
      </c>
      <c r="E54" s="9">
        <v>8260098722</v>
      </c>
      <c r="F54" s="9">
        <v>8260098697</v>
      </c>
      <c r="G54" s="7">
        <v>8260098720</v>
      </c>
      <c r="H54" s="9">
        <v>8260098690</v>
      </c>
      <c r="I54" s="8"/>
      <c r="J54" s="8"/>
      <c r="K54" s="9">
        <v>8260098718</v>
      </c>
      <c r="L54" s="325"/>
    </row>
    <row r="55" spans="1:12" x14ac:dyDescent="0.2">
      <c r="A55" s="336">
        <v>46134</v>
      </c>
      <c r="B55" s="61" t="s">
        <v>920</v>
      </c>
      <c r="C55" s="61" t="s">
        <v>921</v>
      </c>
      <c r="D55" s="61" t="s">
        <v>922</v>
      </c>
      <c r="E55" s="61" t="s">
        <v>923</v>
      </c>
      <c r="F55" s="61" t="s">
        <v>924</v>
      </c>
      <c r="G55" s="61" t="s">
        <v>925</v>
      </c>
      <c r="H55" s="61" t="s">
        <v>926</v>
      </c>
      <c r="I55" s="61"/>
      <c r="J55" s="66"/>
      <c r="K55" s="66" t="s">
        <v>927</v>
      </c>
      <c r="L55" s="366"/>
    </row>
    <row r="56" spans="1:12" ht="45" customHeight="1" x14ac:dyDescent="0.2">
      <c r="A56" s="336"/>
      <c r="B56" s="9">
        <v>8260098791</v>
      </c>
      <c r="C56" s="9" t="s">
        <v>928</v>
      </c>
      <c r="D56" s="9">
        <v>8260098769</v>
      </c>
      <c r="E56" s="9">
        <v>8260098792</v>
      </c>
      <c r="F56" s="9">
        <v>8260098762</v>
      </c>
      <c r="G56" s="7">
        <v>8260098784</v>
      </c>
      <c r="H56" s="9">
        <v>8260098768</v>
      </c>
      <c r="I56" s="9"/>
      <c r="J56" s="9"/>
      <c r="K56" s="9">
        <v>8260098773</v>
      </c>
      <c r="L56" s="367"/>
    </row>
    <row r="57" spans="1:12" x14ac:dyDescent="0.2">
      <c r="A57" s="336">
        <v>46135</v>
      </c>
      <c r="B57" s="61" t="s">
        <v>929</v>
      </c>
      <c r="C57" s="61" t="s">
        <v>930</v>
      </c>
      <c r="D57" s="61" t="s">
        <v>931</v>
      </c>
      <c r="E57" s="61" t="s">
        <v>932</v>
      </c>
      <c r="F57" s="61" t="s">
        <v>933</v>
      </c>
      <c r="G57" s="61" t="s">
        <v>934</v>
      </c>
      <c r="H57" s="61" t="s">
        <v>935</v>
      </c>
      <c r="I57" s="61"/>
      <c r="J57" s="66"/>
      <c r="K57" s="16"/>
      <c r="L57" s="323"/>
    </row>
    <row r="58" spans="1:12" ht="45" customHeight="1" x14ac:dyDescent="0.2">
      <c r="A58" s="336"/>
      <c r="B58" s="9">
        <v>8260098852</v>
      </c>
      <c r="C58" s="9" t="s">
        <v>936</v>
      </c>
      <c r="D58" s="9">
        <v>8260098841</v>
      </c>
      <c r="E58" s="9">
        <v>8260098837</v>
      </c>
      <c r="F58" s="9">
        <v>8260098843</v>
      </c>
      <c r="G58" s="7">
        <v>8260098862</v>
      </c>
      <c r="H58" s="9">
        <v>8260098868</v>
      </c>
      <c r="I58" s="9"/>
      <c r="J58" s="9"/>
      <c r="K58" s="9"/>
      <c r="L58" s="325"/>
    </row>
    <row r="59" spans="1:12" x14ac:dyDescent="0.2">
      <c r="A59" s="336">
        <v>46137</v>
      </c>
      <c r="B59" s="61" t="s">
        <v>937</v>
      </c>
      <c r="C59" s="61" t="s">
        <v>938</v>
      </c>
      <c r="D59" s="61" t="s">
        <v>939</v>
      </c>
      <c r="E59" s="61" t="s">
        <v>902</v>
      </c>
      <c r="F59" s="61" t="s">
        <v>940</v>
      </c>
      <c r="G59" s="61" t="s">
        <v>941</v>
      </c>
      <c r="H59" s="61" t="s">
        <v>942</v>
      </c>
      <c r="I59" s="61"/>
      <c r="J59" s="66"/>
      <c r="K59" s="66" t="s">
        <v>943</v>
      </c>
      <c r="L59" s="323"/>
    </row>
    <row r="60" spans="1:12" ht="45" customHeight="1" x14ac:dyDescent="0.2">
      <c r="A60" s="336"/>
      <c r="B60" s="9">
        <v>8260098916</v>
      </c>
      <c r="C60" s="9" t="s">
        <v>944</v>
      </c>
      <c r="D60" s="9">
        <v>8260098915</v>
      </c>
      <c r="E60" s="9">
        <v>8260098940</v>
      </c>
      <c r="F60" s="9">
        <v>8260098918</v>
      </c>
      <c r="G60" s="7">
        <v>8260098942</v>
      </c>
      <c r="H60" s="9">
        <v>8260098921</v>
      </c>
      <c r="I60" s="8"/>
      <c r="J60" s="8"/>
      <c r="K60" s="7">
        <v>8260098920</v>
      </c>
      <c r="L60" s="325"/>
    </row>
    <row r="62" spans="1:12" ht="27.75" x14ac:dyDescent="0.2">
      <c r="A62" s="280" t="s">
        <v>34</v>
      </c>
      <c r="B62" s="5" t="s">
        <v>196</v>
      </c>
      <c r="C62" s="5" t="s">
        <v>472</v>
      </c>
      <c r="D62" s="5" t="s">
        <v>198</v>
      </c>
      <c r="E62" s="5" t="s">
        <v>199</v>
      </c>
      <c r="F62" s="5" t="s">
        <v>200</v>
      </c>
      <c r="G62" s="5" t="s">
        <v>201</v>
      </c>
      <c r="H62" s="5" t="s">
        <v>202</v>
      </c>
      <c r="I62" s="5" t="s">
        <v>203</v>
      </c>
      <c r="J62" s="5" t="s">
        <v>204</v>
      </c>
      <c r="K62" s="282" t="s">
        <v>8</v>
      </c>
      <c r="L62" s="282"/>
    </row>
    <row r="63" spans="1:12" x14ac:dyDescent="0.2">
      <c r="A63" s="280"/>
      <c r="B63" s="15" t="s">
        <v>153</v>
      </c>
      <c r="C63" s="15" t="s">
        <v>205</v>
      </c>
      <c r="D63" s="15" t="s">
        <v>206</v>
      </c>
      <c r="E63" s="15" t="s">
        <v>207</v>
      </c>
      <c r="F63" s="15" t="s">
        <v>208</v>
      </c>
      <c r="G63" s="15" t="s">
        <v>207</v>
      </c>
      <c r="H63" s="15" t="s">
        <v>103</v>
      </c>
      <c r="I63" s="15" t="s">
        <v>208</v>
      </c>
      <c r="J63" s="15" t="s">
        <v>209</v>
      </c>
      <c r="K63" s="282"/>
      <c r="L63" s="282"/>
    </row>
    <row r="64" spans="1:12" x14ac:dyDescent="0.2">
      <c r="A64" s="335">
        <v>46132</v>
      </c>
      <c r="B64" s="61" t="s">
        <v>945</v>
      </c>
      <c r="C64" s="61" t="s">
        <v>946</v>
      </c>
      <c r="D64" s="61" t="s">
        <v>947</v>
      </c>
      <c r="E64" s="61" t="s">
        <v>948</v>
      </c>
      <c r="F64" s="61" t="s">
        <v>949</v>
      </c>
      <c r="G64" s="61" t="s">
        <v>950</v>
      </c>
      <c r="H64" s="61" t="s">
        <v>951</v>
      </c>
      <c r="I64" s="61" t="s">
        <v>952</v>
      </c>
      <c r="J64" s="66"/>
      <c r="K64" s="278"/>
      <c r="L64" s="278"/>
    </row>
    <row r="65" spans="1:14" ht="45" customHeight="1" x14ac:dyDescent="0.2">
      <c r="A65" s="335"/>
      <c r="B65" s="9">
        <v>8260098648</v>
      </c>
      <c r="C65" s="9">
        <v>8260098629</v>
      </c>
      <c r="D65" s="9">
        <v>8260098652</v>
      </c>
      <c r="E65" s="9">
        <v>8260098649</v>
      </c>
      <c r="F65" s="9">
        <v>8260098646</v>
      </c>
      <c r="G65" s="9">
        <v>8260098657</v>
      </c>
      <c r="H65" s="9">
        <v>8260098633</v>
      </c>
      <c r="I65" s="9" t="s">
        <v>953</v>
      </c>
      <c r="J65" s="9"/>
      <c r="K65" s="278"/>
      <c r="L65" s="278"/>
    </row>
    <row r="66" spans="1:14" x14ac:dyDescent="0.2">
      <c r="A66" s="336">
        <v>46133</v>
      </c>
      <c r="B66" s="61" t="s">
        <v>954</v>
      </c>
      <c r="C66" s="61" t="s">
        <v>955</v>
      </c>
      <c r="D66" s="61" t="s">
        <v>956</v>
      </c>
      <c r="E66" s="61" t="s">
        <v>957</v>
      </c>
      <c r="F66" s="61" t="s">
        <v>958</v>
      </c>
      <c r="G66" s="61" t="s">
        <v>959</v>
      </c>
      <c r="H66" s="61" t="s">
        <v>960</v>
      </c>
      <c r="I66" s="61" t="s">
        <v>961</v>
      </c>
      <c r="J66" s="66"/>
      <c r="K66" s="319"/>
      <c r="L66" s="319"/>
    </row>
    <row r="67" spans="1:14" ht="45" customHeight="1" x14ac:dyDescent="0.2">
      <c r="A67" s="336"/>
      <c r="B67" s="9">
        <v>8260098721</v>
      </c>
      <c r="C67" s="9">
        <v>8260098692</v>
      </c>
      <c r="D67" s="9">
        <v>8260098711</v>
      </c>
      <c r="E67" s="7">
        <v>8260098693</v>
      </c>
      <c r="F67" s="9">
        <v>8260098712</v>
      </c>
      <c r="G67" s="9">
        <v>8260098708</v>
      </c>
      <c r="H67" s="9">
        <v>8260098704</v>
      </c>
      <c r="I67" s="9" t="s">
        <v>962</v>
      </c>
      <c r="J67" s="7"/>
      <c r="K67" s="319"/>
      <c r="L67" s="319"/>
    </row>
    <row r="68" spans="1:14" x14ac:dyDescent="0.2">
      <c r="A68" s="336">
        <v>46134</v>
      </c>
      <c r="B68" s="61" t="s">
        <v>963</v>
      </c>
      <c r="C68" s="61" t="s">
        <v>964</v>
      </c>
      <c r="D68" s="61" t="s">
        <v>965</v>
      </c>
      <c r="E68" s="61" t="s">
        <v>966</v>
      </c>
      <c r="F68" s="61" t="s">
        <v>967</v>
      </c>
      <c r="G68" s="61" t="s">
        <v>968</v>
      </c>
      <c r="H68" s="61" t="s">
        <v>969</v>
      </c>
      <c r="I68" s="61" t="s">
        <v>970</v>
      </c>
      <c r="J68" s="53"/>
      <c r="K68" s="319"/>
      <c r="L68" s="319"/>
    </row>
    <row r="69" spans="1:14" ht="45" customHeight="1" x14ac:dyDescent="0.2">
      <c r="A69" s="336"/>
      <c r="B69" s="9">
        <v>8260098786</v>
      </c>
      <c r="C69" s="9">
        <v>8260098770</v>
      </c>
      <c r="D69" s="9">
        <v>8260098793</v>
      </c>
      <c r="E69" s="7">
        <v>8260098779</v>
      </c>
      <c r="F69" s="9">
        <v>8260098782</v>
      </c>
      <c r="G69" s="9">
        <v>8260098783</v>
      </c>
      <c r="H69" s="9">
        <v>8260098772</v>
      </c>
      <c r="I69" s="9" t="s">
        <v>971</v>
      </c>
      <c r="J69" s="7"/>
      <c r="K69" s="319"/>
      <c r="L69" s="319"/>
    </row>
    <row r="70" spans="1:14" x14ac:dyDescent="0.2">
      <c r="A70" s="336">
        <v>46135</v>
      </c>
      <c r="B70" s="61" t="s">
        <v>972</v>
      </c>
      <c r="C70" s="61" t="s">
        <v>973</v>
      </c>
      <c r="D70" s="61" t="s">
        <v>974</v>
      </c>
      <c r="E70" s="61" t="s">
        <v>975</v>
      </c>
      <c r="F70" s="61" t="s">
        <v>976</v>
      </c>
      <c r="G70" s="61" t="s">
        <v>977</v>
      </c>
      <c r="H70" s="17" t="s">
        <v>978</v>
      </c>
      <c r="I70" s="61" t="s">
        <v>892</v>
      </c>
      <c r="J70" s="53"/>
      <c r="K70" s="319" t="s">
        <v>979</v>
      </c>
      <c r="L70" s="319"/>
    </row>
    <row r="71" spans="1:14" ht="45" customHeight="1" x14ac:dyDescent="0.2">
      <c r="A71" s="336"/>
      <c r="B71" s="9">
        <v>8260098865</v>
      </c>
      <c r="C71" s="9">
        <v>8260098839</v>
      </c>
      <c r="D71" s="9">
        <v>8260098859</v>
      </c>
      <c r="E71" s="7">
        <v>8260098863</v>
      </c>
      <c r="F71" s="9">
        <v>8260098858</v>
      </c>
      <c r="G71" s="9">
        <v>8260098851</v>
      </c>
      <c r="H71" s="9">
        <v>8260098864</v>
      </c>
      <c r="I71" s="9" t="s">
        <v>980</v>
      </c>
      <c r="J71" s="7"/>
      <c r="K71" s="319"/>
      <c r="L71" s="319"/>
    </row>
    <row r="72" spans="1:14" x14ac:dyDescent="0.2">
      <c r="A72" s="336">
        <v>46137</v>
      </c>
      <c r="B72" s="61" t="s">
        <v>981</v>
      </c>
      <c r="C72" s="61" t="s">
        <v>982</v>
      </c>
      <c r="D72" s="61" t="s">
        <v>983</v>
      </c>
      <c r="E72" s="61" t="s">
        <v>984</v>
      </c>
      <c r="F72" s="61" t="s">
        <v>985</v>
      </c>
      <c r="G72" s="61" t="s">
        <v>937</v>
      </c>
      <c r="H72" s="61" t="s">
        <v>986</v>
      </c>
      <c r="I72" s="61" t="s">
        <v>987</v>
      </c>
      <c r="J72" s="53"/>
      <c r="K72" s="331"/>
      <c r="L72" s="331"/>
    </row>
    <row r="73" spans="1:14" ht="45" customHeight="1" x14ac:dyDescent="0.2">
      <c r="A73" s="336"/>
      <c r="B73" s="9">
        <v>8260098937</v>
      </c>
      <c r="C73" s="9">
        <v>8260098922</v>
      </c>
      <c r="D73" s="9">
        <v>8260098938</v>
      </c>
      <c r="E73" s="7">
        <v>8260098928</v>
      </c>
      <c r="F73" s="9">
        <v>8260098941</v>
      </c>
      <c r="G73" s="9">
        <v>8260098919</v>
      </c>
      <c r="H73" s="9">
        <v>8260098914</v>
      </c>
      <c r="I73" s="9" t="s">
        <v>988</v>
      </c>
      <c r="J73" s="7"/>
      <c r="K73" s="331"/>
      <c r="L73" s="331"/>
    </row>
    <row r="75" spans="1:14" x14ac:dyDescent="0.2">
      <c r="A75" s="279" t="s">
        <v>252</v>
      </c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38"/>
      <c r="N75" s="38"/>
    </row>
    <row r="76" spans="1:14" ht="27.75" x14ac:dyDescent="0.2">
      <c r="A76" s="329" t="s">
        <v>34</v>
      </c>
      <c r="B76" s="82" t="s">
        <v>253</v>
      </c>
      <c r="C76" s="82" t="s">
        <v>254</v>
      </c>
      <c r="D76" s="82" t="s">
        <v>255</v>
      </c>
      <c r="E76" s="82" t="s">
        <v>256</v>
      </c>
      <c r="F76" s="82" t="s">
        <v>257</v>
      </c>
      <c r="G76" s="82" t="s">
        <v>258</v>
      </c>
      <c r="H76" s="82" t="s">
        <v>259</v>
      </c>
      <c r="I76" s="82" t="s">
        <v>260</v>
      </c>
      <c r="J76" s="330" t="s">
        <v>8</v>
      </c>
      <c r="K76" s="330"/>
      <c r="L76" s="330"/>
    </row>
    <row r="77" spans="1:14" x14ac:dyDescent="0.2">
      <c r="A77" s="280"/>
      <c r="B77" s="15" t="s">
        <v>154</v>
      </c>
      <c r="C77" s="15" t="s">
        <v>261</v>
      </c>
      <c r="D77" s="15" t="s">
        <v>262</v>
      </c>
      <c r="E77" s="15" t="s">
        <v>42</v>
      </c>
      <c r="F77" s="15" t="s">
        <v>263</v>
      </c>
      <c r="G77" s="15" t="s">
        <v>264</v>
      </c>
      <c r="H77" s="15" t="s">
        <v>265</v>
      </c>
      <c r="I77" s="15" t="s">
        <v>263</v>
      </c>
      <c r="J77" s="282"/>
      <c r="K77" s="282"/>
      <c r="L77" s="282"/>
    </row>
    <row r="78" spans="1:14" x14ac:dyDescent="0.2">
      <c r="A78" s="335">
        <v>46132</v>
      </c>
      <c r="B78" s="53" t="s">
        <v>989</v>
      </c>
      <c r="C78" s="66" t="s">
        <v>990</v>
      </c>
      <c r="D78" s="66" t="s">
        <v>991</v>
      </c>
      <c r="E78" s="66" t="s">
        <v>991</v>
      </c>
      <c r="F78" s="66" t="s">
        <v>992</v>
      </c>
      <c r="G78" s="66" t="s">
        <v>993</v>
      </c>
      <c r="H78" s="66" t="s">
        <v>994</v>
      </c>
      <c r="I78" s="66"/>
      <c r="J78" s="331"/>
      <c r="K78" s="331"/>
      <c r="L78" s="331"/>
    </row>
    <row r="79" spans="1:14" ht="45" customHeight="1" x14ac:dyDescent="0.2">
      <c r="A79" s="335"/>
      <c r="B79" s="9">
        <v>8260098645</v>
      </c>
      <c r="C79" s="9">
        <v>8260098656</v>
      </c>
      <c r="D79" s="9">
        <v>8260098658</v>
      </c>
      <c r="E79" s="9">
        <v>8260098638</v>
      </c>
      <c r="F79" s="9">
        <v>8260098650</v>
      </c>
      <c r="G79" s="9">
        <v>8260098636</v>
      </c>
      <c r="H79" s="9">
        <v>8260098634</v>
      </c>
      <c r="I79" s="9"/>
      <c r="J79" s="331"/>
      <c r="K79" s="331"/>
      <c r="L79" s="331"/>
    </row>
    <row r="80" spans="1:14" x14ac:dyDescent="0.2">
      <c r="A80" s="336">
        <v>46133</v>
      </c>
      <c r="B80" s="66" t="s">
        <v>995</v>
      </c>
      <c r="C80" s="66" t="s">
        <v>996</v>
      </c>
      <c r="D80" s="66" t="s">
        <v>997</v>
      </c>
      <c r="E80" s="66" t="s">
        <v>997</v>
      </c>
      <c r="F80" s="66" t="s">
        <v>998</v>
      </c>
      <c r="G80" s="66" t="s">
        <v>999</v>
      </c>
      <c r="H80" s="66" t="s">
        <v>1000</v>
      </c>
      <c r="I80" s="66"/>
      <c r="J80" s="331"/>
      <c r="K80" s="331"/>
      <c r="L80" s="331"/>
    </row>
    <row r="81" spans="1:12" ht="45" customHeight="1" x14ac:dyDescent="0.2">
      <c r="A81" s="336"/>
      <c r="B81" s="9">
        <v>8260098698</v>
      </c>
      <c r="C81" s="9">
        <v>8260098701</v>
      </c>
      <c r="D81" s="9">
        <v>8260098724</v>
      </c>
      <c r="E81" s="9">
        <v>8260098715</v>
      </c>
      <c r="F81" s="9">
        <v>8260098719</v>
      </c>
      <c r="G81" s="9">
        <v>8260098709</v>
      </c>
      <c r="H81" s="9">
        <v>8260098694</v>
      </c>
      <c r="I81" s="9"/>
      <c r="J81" s="331"/>
      <c r="K81" s="331"/>
      <c r="L81" s="331"/>
    </row>
    <row r="82" spans="1:12" x14ac:dyDescent="0.2">
      <c r="A82" s="336">
        <v>46134</v>
      </c>
      <c r="B82" s="61" t="s">
        <v>1001</v>
      </c>
      <c r="C82" s="61" t="s">
        <v>1002</v>
      </c>
      <c r="D82" s="61" t="s">
        <v>1003</v>
      </c>
      <c r="E82" s="61" t="s">
        <v>1003</v>
      </c>
      <c r="F82" s="61" t="s">
        <v>1004</v>
      </c>
      <c r="G82" s="61" t="s">
        <v>1005</v>
      </c>
      <c r="H82" s="61" t="s">
        <v>1006</v>
      </c>
      <c r="I82" s="61"/>
      <c r="J82" s="331"/>
      <c r="K82" s="331"/>
      <c r="L82" s="331"/>
    </row>
    <row r="83" spans="1:12" ht="45" customHeight="1" x14ac:dyDescent="0.2">
      <c r="A83" s="336"/>
      <c r="B83" s="9" t="s">
        <v>1007</v>
      </c>
      <c r="C83" s="9">
        <v>8260098794</v>
      </c>
      <c r="D83" s="9">
        <v>8260098790</v>
      </c>
      <c r="E83" s="9">
        <v>8260098767</v>
      </c>
      <c r="F83" s="9">
        <v>8260098785</v>
      </c>
      <c r="G83" s="9">
        <v>8260098765</v>
      </c>
      <c r="H83" s="9">
        <v>8260098796</v>
      </c>
      <c r="I83" s="9"/>
      <c r="J83" s="331"/>
      <c r="K83" s="331"/>
      <c r="L83" s="331"/>
    </row>
    <row r="84" spans="1:12" x14ac:dyDescent="0.2">
      <c r="A84" s="336">
        <v>46135</v>
      </c>
      <c r="B84" s="61" t="s">
        <v>978</v>
      </c>
      <c r="C84" s="61" t="s">
        <v>1008</v>
      </c>
      <c r="D84" s="61" t="s">
        <v>1009</v>
      </c>
      <c r="E84" s="61" t="s">
        <v>1009</v>
      </c>
      <c r="F84" s="61" t="s">
        <v>1010</v>
      </c>
      <c r="G84" s="61" t="s">
        <v>1011</v>
      </c>
      <c r="H84" s="61" t="s">
        <v>1012</v>
      </c>
      <c r="I84" s="61"/>
      <c r="J84" s="331"/>
      <c r="K84" s="331"/>
      <c r="L84" s="331"/>
    </row>
    <row r="85" spans="1:12" ht="45" customHeight="1" x14ac:dyDescent="0.2">
      <c r="A85" s="336"/>
      <c r="B85" s="9" t="s">
        <v>1013</v>
      </c>
      <c r="C85" s="9">
        <v>8260098853</v>
      </c>
      <c r="D85" s="9">
        <v>8260098869</v>
      </c>
      <c r="E85" s="9">
        <v>8260098855</v>
      </c>
      <c r="F85" s="9">
        <v>8260098854</v>
      </c>
      <c r="G85" s="9">
        <v>8260098846</v>
      </c>
      <c r="H85" s="9">
        <v>8260098849</v>
      </c>
      <c r="I85" s="9"/>
      <c r="J85" s="331"/>
      <c r="K85" s="331"/>
      <c r="L85" s="331"/>
    </row>
    <row r="86" spans="1:12" x14ac:dyDescent="0.2">
      <c r="A86" s="336">
        <v>46137</v>
      </c>
      <c r="B86" s="61" t="s">
        <v>1014</v>
      </c>
      <c r="C86" s="61" t="s">
        <v>1015</v>
      </c>
      <c r="D86" s="61" t="s">
        <v>1016</v>
      </c>
      <c r="E86" s="61" t="s">
        <v>1016</v>
      </c>
      <c r="F86" s="61" t="s">
        <v>1017</v>
      </c>
      <c r="G86" s="61" t="s">
        <v>1018</v>
      </c>
      <c r="H86" s="17" t="s">
        <v>1019</v>
      </c>
      <c r="I86" s="61"/>
      <c r="J86" s="368" t="s">
        <v>783</v>
      </c>
      <c r="K86" s="368"/>
      <c r="L86" s="368"/>
    </row>
    <row r="87" spans="1:12" ht="45" customHeight="1" x14ac:dyDescent="0.2">
      <c r="A87" s="336"/>
      <c r="B87" s="9" t="s">
        <v>1020</v>
      </c>
      <c r="C87" s="9">
        <v>8260098912</v>
      </c>
      <c r="D87" s="9">
        <v>8260098923</v>
      </c>
      <c r="E87" s="9">
        <v>8260098907</v>
      </c>
      <c r="F87" s="9">
        <v>8260098908</v>
      </c>
      <c r="G87" s="9">
        <v>8260098925</v>
      </c>
      <c r="H87" s="9">
        <v>8260098933</v>
      </c>
      <c r="I87" s="9"/>
      <c r="J87" s="368"/>
      <c r="K87" s="368"/>
      <c r="L87" s="368"/>
    </row>
  </sheetData>
  <mergeCells count="81">
    <mergeCell ref="A82:A83"/>
    <mergeCell ref="J82:L83"/>
    <mergeCell ref="A84:A85"/>
    <mergeCell ref="J84:L85"/>
    <mergeCell ref="A86:A87"/>
    <mergeCell ref="J86:L87"/>
    <mergeCell ref="A80:A81"/>
    <mergeCell ref="J80:L81"/>
    <mergeCell ref="A68:A69"/>
    <mergeCell ref="K68:L69"/>
    <mergeCell ref="A70:A71"/>
    <mergeCell ref="K70:L71"/>
    <mergeCell ref="A72:A73"/>
    <mergeCell ref="K72:L73"/>
    <mergeCell ref="A75:L75"/>
    <mergeCell ref="A76:A77"/>
    <mergeCell ref="J76:L77"/>
    <mergeCell ref="A78:A79"/>
    <mergeCell ref="J78:L79"/>
    <mergeCell ref="A62:A63"/>
    <mergeCell ref="K62:L63"/>
    <mergeCell ref="A64:A65"/>
    <mergeCell ref="K64:L65"/>
    <mergeCell ref="A66:A67"/>
    <mergeCell ref="K66:L67"/>
    <mergeCell ref="A55:A56"/>
    <mergeCell ref="L55:L56"/>
    <mergeCell ref="A57:A58"/>
    <mergeCell ref="L57:L58"/>
    <mergeCell ref="A59:A60"/>
    <mergeCell ref="L59:L60"/>
    <mergeCell ref="A53:A54"/>
    <mergeCell ref="L53:L54"/>
    <mergeCell ref="A41:A42"/>
    <mergeCell ref="H41:J42"/>
    <mergeCell ref="A43:A44"/>
    <mergeCell ref="H43:J44"/>
    <mergeCell ref="A45:A46"/>
    <mergeCell ref="H45:J46"/>
    <mergeCell ref="A48:L48"/>
    <mergeCell ref="A49:A50"/>
    <mergeCell ref="L49:L50"/>
    <mergeCell ref="A51:A52"/>
    <mergeCell ref="L51:L52"/>
    <mergeCell ref="A35:A36"/>
    <mergeCell ref="H35:J36"/>
    <mergeCell ref="A37:A38"/>
    <mergeCell ref="H37:J38"/>
    <mergeCell ref="A39:A40"/>
    <mergeCell ref="H39:J40"/>
    <mergeCell ref="A34:J34"/>
    <mergeCell ref="A15:A16"/>
    <mergeCell ref="K15:L16"/>
    <mergeCell ref="A19:A21"/>
    <mergeCell ref="B19:B20"/>
    <mergeCell ref="C19:C20"/>
    <mergeCell ref="D19:D20"/>
    <mergeCell ref="A22:A23"/>
    <mergeCell ref="A24:A25"/>
    <mergeCell ref="A26:A27"/>
    <mergeCell ref="A28:A29"/>
    <mergeCell ref="A30:A31"/>
    <mergeCell ref="E30:G31"/>
    <mergeCell ref="E19:G21"/>
    <mergeCell ref="E22:G23"/>
    <mergeCell ref="E24:G25"/>
    <mergeCell ref="A7:A8"/>
    <mergeCell ref="K7:L8"/>
    <mergeCell ref="A3:L3"/>
    <mergeCell ref="A4:A6"/>
    <mergeCell ref="B4:G4"/>
    <mergeCell ref="H4:J4"/>
    <mergeCell ref="K4:L6"/>
    <mergeCell ref="E26:G27"/>
    <mergeCell ref="E28:G29"/>
    <mergeCell ref="A9:A10"/>
    <mergeCell ref="K9:L10"/>
    <mergeCell ref="A11:A12"/>
    <mergeCell ref="K11:L12"/>
    <mergeCell ref="A13:A14"/>
    <mergeCell ref="K13:L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0FCC-701A-419E-B826-DF61A3A70D54}">
  <dimension ref="A1:H48"/>
  <sheetViews>
    <sheetView topLeftCell="A9" workbookViewId="0">
      <selection activeCell="G20" sqref="G19:G20"/>
    </sheetView>
  </sheetViews>
  <sheetFormatPr defaultRowHeight="15" x14ac:dyDescent="0.2"/>
  <cols>
    <col min="1" max="3" width="15.6015625" customWidth="1"/>
    <col min="4" max="4" width="21.65625" bestFit="1" customWidth="1"/>
    <col min="5" max="5" width="15.6015625" customWidth="1"/>
    <col min="6" max="6" width="21.38671875" style="3" customWidth="1"/>
    <col min="7" max="7" width="15.6015625" customWidth="1"/>
    <col min="8" max="8" width="80.30859375" style="99" bestFit="1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32">
        <v>46139</v>
      </c>
      <c r="B4" s="8" t="s">
        <v>9</v>
      </c>
      <c r="C4" s="8" t="s">
        <v>556</v>
      </c>
      <c r="D4" s="8" t="s">
        <v>1021</v>
      </c>
      <c r="E4" s="8" t="s">
        <v>11</v>
      </c>
      <c r="F4" s="49">
        <v>0.44305555555555554</v>
      </c>
      <c r="G4" s="47" t="s">
        <v>13</v>
      </c>
      <c r="H4" s="98" t="s">
        <v>1022</v>
      </c>
    </row>
    <row r="5" spans="1:8" x14ac:dyDescent="0.2">
      <c r="A5" s="333"/>
      <c r="B5" s="8" t="s">
        <v>14</v>
      </c>
      <c r="C5" s="8" t="s">
        <v>320</v>
      </c>
      <c r="D5" s="8" t="s">
        <v>1023</v>
      </c>
      <c r="E5" s="8" t="s">
        <v>16</v>
      </c>
      <c r="F5" s="49">
        <v>0.55486111111111114</v>
      </c>
      <c r="G5" s="47" t="s">
        <v>13</v>
      </c>
      <c r="H5" s="98" t="s">
        <v>1024</v>
      </c>
    </row>
    <row r="6" spans="1:8" x14ac:dyDescent="0.2">
      <c r="A6" s="333"/>
      <c r="B6" s="8" t="s">
        <v>20</v>
      </c>
      <c r="C6" s="10"/>
      <c r="D6" s="10"/>
      <c r="E6" s="8" t="s">
        <v>21</v>
      </c>
      <c r="F6" s="7"/>
      <c r="G6" s="10"/>
      <c r="H6" s="98"/>
    </row>
    <row r="7" spans="1:8" x14ac:dyDescent="0.2">
      <c r="A7" s="333"/>
      <c r="B7" s="8" t="s">
        <v>22</v>
      </c>
      <c r="C7" s="8" t="s">
        <v>326</v>
      </c>
      <c r="D7" s="8" t="s">
        <v>1025</v>
      </c>
      <c r="E7" s="8" t="s">
        <v>24</v>
      </c>
      <c r="F7" s="49">
        <v>0.7055555555555556</v>
      </c>
      <c r="G7" s="48" t="s">
        <v>18</v>
      </c>
      <c r="H7" s="98"/>
    </row>
    <row r="8" spans="1:8" x14ac:dyDescent="0.2">
      <c r="A8" s="333"/>
      <c r="B8" s="8" t="s">
        <v>26</v>
      </c>
      <c r="C8" s="8" t="s">
        <v>307</v>
      </c>
      <c r="D8" s="8" t="s">
        <v>308</v>
      </c>
      <c r="E8" s="8" t="s">
        <v>28</v>
      </c>
      <c r="F8" s="49">
        <v>0.6479166666666667</v>
      </c>
      <c r="G8" s="48" t="s">
        <v>18</v>
      </c>
      <c r="H8" s="98"/>
    </row>
    <row r="9" spans="1:8" x14ac:dyDescent="0.2">
      <c r="A9" s="333"/>
      <c r="B9" s="8" t="s">
        <v>26</v>
      </c>
      <c r="C9" s="8" t="s">
        <v>1026</v>
      </c>
      <c r="D9" s="8" t="s">
        <v>569</v>
      </c>
      <c r="E9" s="8" t="s">
        <v>28</v>
      </c>
      <c r="F9" s="49">
        <v>0.62013888888888891</v>
      </c>
      <c r="G9" s="48" t="s">
        <v>18</v>
      </c>
      <c r="H9" s="98"/>
    </row>
    <row r="10" spans="1:8" x14ac:dyDescent="0.2">
      <c r="A10" s="333"/>
      <c r="B10" s="8" t="s">
        <v>26</v>
      </c>
      <c r="C10" s="8" t="s">
        <v>1027</v>
      </c>
      <c r="D10" s="8" t="s">
        <v>314</v>
      </c>
      <c r="E10" s="8" t="s">
        <v>28</v>
      </c>
      <c r="F10" s="49">
        <v>0.6333333333333333</v>
      </c>
      <c r="G10" s="48" t="s">
        <v>18</v>
      </c>
      <c r="H10" s="98"/>
    </row>
    <row r="11" spans="1:8" x14ac:dyDescent="0.2">
      <c r="A11" s="334"/>
      <c r="B11" s="8" t="s">
        <v>26</v>
      </c>
      <c r="C11" s="8"/>
      <c r="D11" s="8"/>
      <c r="E11" s="8" t="s">
        <v>28</v>
      </c>
      <c r="F11" s="49"/>
      <c r="G11" s="78"/>
      <c r="H11" s="98"/>
    </row>
    <row r="13" spans="1:8" x14ac:dyDescent="0.2">
      <c r="A13" s="336">
        <v>46140</v>
      </c>
      <c r="B13" s="8" t="s">
        <v>9</v>
      </c>
      <c r="C13" s="8" t="s">
        <v>801</v>
      </c>
      <c r="D13" s="8" t="s">
        <v>1028</v>
      </c>
      <c r="E13" s="8" t="s">
        <v>11</v>
      </c>
      <c r="F13" s="49">
        <v>0.40069444444444446</v>
      </c>
      <c r="G13" s="48" t="s">
        <v>18</v>
      </c>
      <c r="H13" s="98"/>
    </row>
    <row r="14" spans="1:8" x14ac:dyDescent="0.2">
      <c r="A14" s="336"/>
      <c r="B14" s="8" t="s">
        <v>315</v>
      </c>
      <c r="C14" s="8" t="s">
        <v>303</v>
      </c>
      <c r="D14" s="8" t="s">
        <v>331</v>
      </c>
      <c r="E14" s="8" t="s">
        <v>11</v>
      </c>
      <c r="F14" s="49">
        <v>0.37361111111111112</v>
      </c>
      <c r="G14" s="48" t="s">
        <v>18</v>
      </c>
      <c r="H14" s="98"/>
    </row>
    <row r="15" spans="1:8" x14ac:dyDescent="0.2">
      <c r="A15" s="336"/>
      <c r="B15" s="8" t="s">
        <v>315</v>
      </c>
      <c r="C15" s="8" t="s">
        <v>326</v>
      </c>
      <c r="D15" s="8" t="s">
        <v>1025</v>
      </c>
      <c r="E15" s="8" t="s">
        <v>11</v>
      </c>
      <c r="F15" s="49">
        <v>0.34513888888888888</v>
      </c>
      <c r="G15" s="48" t="s">
        <v>18</v>
      </c>
      <c r="H15" s="98"/>
    </row>
    <row r="16" spans="1:8" x14ac:dyDescent="0.2">
      <c r="A16" s="336"/>
      <c r="B16" s="8" t="s">
        <v>14</v>
      </c>
      <c r="C16" s="8" t="s">
        <v>320</v>
      </c>
      <c r="D16" s="8" t="s">
        <v>1023</v>
      </c>
      <c r="E16" s="8" t="s">
        <v>16</v>
      </c>
      <c r="F16" s="49">
        <v>0.51458333333333328</v>
      </c>
      <c r="G16" s="48" t="s">
        <v>18</v>
      </c>
      <c r="H16" s="98"/>
    </row>
    <row r="17" spans="1:8" x14ac:dyDescent="0.2">
      <c r="A17" s="336"/>
      <c r="B17" s="8" t="s">
        <v>20</v>
      </c>
      <c r="C17" s="10"/>
      <c r="D17" s="10"/>
      <c r="E17" s="8" t="s">
        <v>21</v>
      </c>
      <c r="F17" s="7"/>
      <c r="G17" s="10"/>
      <c r="H17" s="98"/>
    </row>
    <row r="18" spans="1:8" x14ac:dyDescent="0.2">
      <c r="A18" s="336"/>
      <c r="B18" s="8" t="s">
        <v>22</v>
      </c>
      <c r="C18" s="8" t="s">
        <v>305</v>
      </c>
      <c r="D18" s="8" t="s">
        <v>306</v>
      </c>
      <c r="E18" s="8" t="s">
        <v>24</v>
      </c>
      <c r="F18" s="49">
        <v>0.67222222222222228</v>
      </c>
      <c r="G18" s="48" t="s">
        <v>18</v>
      </c>
      <c r="H18" s="98"/>
    </row>
    <row r="19" spans="1:8" x14ac:dyDescent="0.2">
      <c r="A19" s="336"/>
      <c r="B19" s="8" t="s">
        <v>26</v>
      </c>
      <c r="C19" s="8" t="s">
        <v>811</v>
      </c>
      <c r="D19" s="8" t="s">
        <v>554</v>
      </c>
      <c r="E19" s="8" t="s">
        <v>28</v>
      </c>
      <c r="F19" s="49">
        <v>0.62986111111111109</v>
      </c>
      <c r="G19" s="48" t="s">
        <v>18</v>
      </c>
      <c r="H19" s="98"/>
    </row>
    <row r="20" spans="1:8" x14ac:dyDescent="0.2">
      <c r="A20" s="336"/>
      <c r="B20" s="8" t="s">
        <v>26</v>
      </c>
      <c r="C20" s="8" t="s">
        <v>793</v>
      </c>
      <c r="D20" s="8" t="s">
        <v>1029</v>
      </c>
      <c r="E20" s="8" t="s">
        <v>28</v>
      </c>
      <c r="F20" s="49">
        <v>0.68055555555555558</v>
      </c>
      <c r="G20" s="47" t="s">
        <v>13</v>
      </c>
      <c r="H20" s="98" t="s">
        <v>1030</v>
      </c>
    </row>
    <row r="21" spans="1:8" x14ac:dyDescent="0.2">
      <c r="A21" s="336"/>
      <c r="B21" s="8" t="s">
        <v>26</v>
      </c>
      <c r="C21" s="8"/>
      <c r="D21" s="8"/>
      <c r="E21" s="8" t="s">
        <v>28</v>
      </c>
      <c r="F21" s="49"/>
      <c r="G21" s="79"/>
      <c r="H21" s="98"/>
    </row>
    <row r="23" spans="1:8" x14ac:dyDescent="0.2">
      <c r="A23" s="332">
        <v>46141</v>
      </c>
      <c r="B23" s="8" t="s">
        <v>9</v>
      </c>
      <c r="C23" s="8" t="s">
        <v>305</v>
      </c>
      <c r="D23" s="8" t="s">
        <v>306</v>
      </c>
      <c r="E23" s="8" t="s">
        <v>11</v>
      </c>
      <c r="F23" s="49">
        <v>0.3527777777777778</v>
      </c>
      <c r="G23" s="48" t="s">
        <v>18</v>
      </c>
      <c r="H23" s="98"/>
    </row>
    <row r="24" spans="1:8" x14ac:dyDescent="0.2">
      <c r="A24" s="333"/>
      <c r="B24" s="8" t="s">
        <v>14</v>
      </c>
      <c r="C24" s="8" t="s">
        <v>320</v>
      </c>
      <c r="D24" s="8" t="s">
        <v>558</v>
      </c>
      <c r="E24" s="8" t="s">
        <v>16</v>
      </c>
      <c r="F24" s="49">
        <v>0.51458333333333328</v>
      </c>
      <c r="G24" s="48" t="s">
        <v>18</v>
      </c>
      <c r="H24" s="98"/>
    </row>
    <row r="25" spans="1:8" x14ac:dyDescent="0.2">
      <c r="A25" s="333"/>
      <c r="B25" s="8" t="s">
        <v>20</v>
      </c>
      <c r="C25" s="8"/>
      <c r="D25" s="8"/>
      <c r="E25" s="8" t="s">
        <v>21</v>
      </c>
      <c r="F25" s="49"/>
      <c r="G25" s="79"/>
      <c r="H25" s="98"/>
    </row>
    <row r="26" spans="1:8" x14ac:dyDescent="0.2">
      <c r="A26" s="333"/>
      <c r="B26" s="8" t="s">
        <v>22</v>
      </c>
      <c r="C26" s="8" t="s">
        <v>326</v>
      </c>
      <c r="D26" s="8" t="s">
        <v>1031</v>
      </c>
      <c r="E26" s="8" t="s">
        <v>24</v>
      </c>
      <c r="F26" s="49">
        <v>0.7104166666666667</v>
      </c>
      <c r="G26" s="47" t="s">
        <v>13</v>
      </c>
      <c r="H26" s="98" t="s">
        <v>1032</v>
      </c>
    </row>
    <row r="27" spans="1:8" x14ac:dyDescent="0.2">
      <c r="A27" s="333"/>
      <c r="B27" s="8" t="s">
        <v>26</v>
      </c>
      <c r="C27" s="8" t="s">
        <v>1033</v>
      </c>
      <c r="D27" s="8" t="s">
        <v>1034</v>
      </c>
      <c r="E27" s="8" t="s">
        <v>28</v>
      </c>
      <c r="F27" s="49">
        <v>0.60486111111111107</v>
      </c>
      <c r="G27" s="48" t="s">
        <v>18</v>
      </c>
      <c r="H27" s="98"/>
    </row>
    <row r="28" spans="1:8" x14ac:dyDescent="0.2">
      <c r="A28" s="333"/>
      <c r="B28" s="8" t="s">
        <v>26</v>
      </c>
      <c r="C28" s="8"/>
      <c r="D28" s="8"/>
      <c r="E28" s="8" t="s">
        <v>28</v>
      </c>
      <c r="F28" s="49"/>
      <c r="G28" s="79"/>
      <c r="H28" s="98"/>
    </row>
    <row r="29" spans="1:8" x14ac:dyDescent="0.2">
      <c r="A29" s="333"/>
      <c r="B29" s="8" t="s">
        <v>26</v>
      </c>
      <c r="C29" s="8"/>
      <c r="D29" s="8"/>
      <c r="E29" s="8" t="s">
        <v>28</v>
      </c>
      <c r="F29" s="49"/>
      <c r="G29" s="79"/>
      <c r="H29" s="98"/>
    </row>
    <row r="31" spans="1:8" x14ac:dyDescent="0.2">
      <c r="A31" s="332">
        <v>46142</v>
      </c>
      <c r="B31" s="8" t="s">
        <v>9</v>
      </c>
      <c r="C31" s="8" t="s">
        <v>326</v>
      </c>
      <c r="D31" s="8" t="s">
        <v>1031</v>
      </c>
      <c r="E31" s="8" t="s">
        <v>11</v>
      </c>
      <c r="F31" s="49">
        <v>0.39027777777777778</v>
      </c>
      <c r="G31" s="48" t="s">
        <v>18</v>
      </c>
      <c r="H31" s="98"/>
    </row>
    <row r="32" spans="1:8" x14ac:dyDescent="0.2">
      <c r="A32" s="333"/>
      <c r="B32" s="8" t="s">
        <v>9</v>
      </c>
      <c r="C32" s="8"/>
      <c r="D32" s="8"/>
      <c r="E32" s="8" t="s">
        <v>11</v>
      </c>
      <c r="F32" s="49"/>
      <c r="G32" s="78"/>
      <c r="H32" s="98"/>
    </row>
    <row r="33" spans="1:8" x14ac:dyDescent="0.2">
      <c r="A33" s="333"/>
      <c r="B33" s="8" t="s">
        <v>14</v>
      </c>
      <c r="C33" s="8" t="s">
        <v>1035</v>
      </c>
      <c r="D33" s="8" t="s">
        <v>562</v>
      </c>
      <c r="E33" s="8" t="s">
        <v>16</v>
      </c>
      <c r="F33" s="49">
        <v>0.66805555555555551</v>
      </c>
      <c r="G33" s="47" t="s">
        <v>13</v>
      </c>
      <c r="H33" s="118" t="s">
        <v>1036</v>
      </c>
    </row>
    <row r="34" spans="1:8" x14ac:dyDescent="0.2">
      <c r="A34" s="333"/>
      <c r="B34" s="8" t="s">
        <v>20</v>
      </c>
      <c r="C34" s="8"/>
      <c r="D34" s="8"/>
      <c r="E34" s="8" t="s">
        <v>21</v>
      </c>
      <c r="F34" s="49"/>
      <c r="G34" s="79"/>
      <c r="H34" s="98"/>
    </row>
    <row r="35" spans="1:8" x14ac:dyDescent="0.2">
      <c r="A35" s="333"/>
      <c r="B35" s="8" t="s">
        <v>22</v>
      </c>
      <c r="C35" s="8" t="s">
        <v>305</v>
      </c>
      <c r="D35" s="8" t="s">
        <v>306</v>
      </c>
      <c r="E35" s="8" t="s">
        <v>24</v>
      </c>
      <c r="F35" s="49">
        <v>0.59166666666666667</v>
      </c>
      <c r="G35" s="48" t="s">
        <v>18</v>
      </c>
      <c r="H35" s="98"/>
    </row>
    <row r="36" spans="1:8" x14ac:dyDescent="0.2">
      <c r="A36" s="333"/>
      <c r="B36" s="8" t="s">
        <v>26</v>
      </c>
      <c r="C36" s="8" t="s">
        <v>563</v>
      </c>
      <c r="D36" s="8" t="s">
        <v>792</v>
      </c>
      <c r="E36" s="8" t="s">
        <v>28</v>
      </c>
      <c r="F36" s="49">
        <v>0.64513888888888893</v>
      </c>
      <c r="G36" s="48" t="s">
        <v>18</v>
      </c>
      <c r="H36" s="98"/>
    </row>
    <row r="37" spans="1:8" x14ac:dyDescent="0.2">
      <c r="A37" s="333"/>
      <c r="B37" s="8" t="s">
        <v>26</v>
      </c>
      <c r="C37" s="8" t="s">
        <v>565</v>
      </c>
      <c r="D37" s="8" t="s">
        <v>1037</v>
      </c>
      <c r="E37" s="8" t="s">
        <v>28</v>
      </c>
      <c r="F37" s="49">
        <v>0.71458333333333335</v>
      </c>
      <c r="G37" s="47" t="s">
        <v>13</v>
      </c>
      <c r="H37" s="98" t="s">
        <v>1038</v>
      </c>
    </row>
    <row r="38" spans="1:8" x14ac:dyDescent="0.2">
      <c r="A38" s="333"/>
      <c r="B38" s="8" t="s">
        <v>26</v>
      </c>
      <c r="C38" s="8"/>
      <c r="D38" s="8"/>
      <c r="E38" s="8" t="s">
        <v>28</v>
      </c>
      <c r="F38" s="7"/>
      <c r="G38" s="8"/>
      <c r="H38" s="98"/>
    </row>
    <row r="39" spans="1:8" x14ac:dyDescent="0.2">
      <c r="A39" s="334"/>
      <c r="B39" s="8" t="s">
        <v>26</v>
      </c>
      <c r="C39" s="8"/>
      <c r="D39" s="8"/>
      <c r="E39" s="8" t="s">
        <v>28</v>
      </c>
      <c r="F39" s="7"/>
      <c r="G39" s="8"/>
      <c r="H39" s="98"/>
    </row>
    <row r="41" spans="1:8" x14ac:dyDescent="0.2">
      <c r="A41" s="332">
        <v>46143</v>
      </c>
      <c r="B41" s="8" t="s">
        <v>9</v>
      </c>
      <c r="C41" s="8"/>
      <c r="D41" s="8"/>
      <c r="E41" s="8" t="s">
        <v>11</v>
      </c>
      <c r="F41" s="49"/>
      <c r="G41" s="78"/>
      <c r="H41" s="98"/>
    </row>
    <row r="42" spans="1:8" x14ac:dyDescent="0.2">
      <c r="A42" s="333"/>
      <c r="B42" s="8" t="s">
        <v>14</v>
      </c>
      <c r="C42" s="8"/>
      <c r="D42" s="8"/>
      <c r="E42" s="8" t="s">
        <v>16</v>
      </c>
      <c r="F42" s="49"/>
      <c r="G42" s="79"/>
      <c r="H42" s="98"/>
    </row>
    <row r="43" spans="1:8" x14ac:dyDescent="0.2">
      <c r="A43" s="333"/>
      <c r="B43" s="8" t="s">
        <v>20</v>
      </c>
      <c r="C43" s="8"/>
      <c r="D43" s="8"/>
      <c r="E43" s="8" t="s">
        <v>21</v>
      </c>
      <c r="F43" s="49"/>
      <c r="G43" s="79"/>
      <c r="H43" s="98"/>
    </row>
    <row r="44" spans="1:8" x14ac:dyDescent="0.2">
      <c r="A44" s="333"/>
      <c r="B44" s="8" t="s">
        <v>22</v>
      </c>
      <c r="C44" s="8"/>
      <c r="D44" s="8"/>
      <c r="E44" s="8" t="s">
        <v>24</v>
      </c>
      <c r="F44" s="49"/>
      <c r="G44" s="79"/>
      <c r="H44" s="98"/>
    </row>
    <row r="45" spans="1:8" x14ac:dyDescent="0.2">
      <c r="A45" s="333"/>
      <c r="B45" s="8" t="s">
        <v>26</v>
      </c>
      <c r="C45" s="8"/>
      <c r="D45" s="8"/>
      <c r="E45" s="8" t="s">
        <v>28</v>
      </c>
      <c r="F45" s="49"/>
      <c r="G45" s="78"/>
      <c r="H45" s="98"/>
    </row>
    <row r="46" spans="1:8" x14ac:dyDescent="0.2">
      <c r="A46" s="333"/>
      <c r="B46" s="8" t="s">
        <v>26</v>
      </c>
      <c r="C46" s="8"/>
      <c r="D46" s="8"/>
      <c r="E46" s="8" t="s">
        <v>28</v>
      </c>
      <c r="F46" s="49"/>
      <c r="G46" s="79"/>
      <c r="H46" s="98"/>
    </row>
    <row r="47" spans="1:8" x14ac:dyDescent="0.2">
      <c r="A47" s="333"/>
      <c r="B47" s="8" t="s">
        <v>26</v>
      </c>
      <c r="C47" s="8"/>
      <c r="D47" s="8"/>
      <c r="E47" s="8" t="s">
        <v>28</v>
      </c>
      <c r="F47" s="7"/>
      <c r="G47" s="10"/>
      <c r="H47" s="98"/>
    </row>
    <row r="48" spans="1:8" x14ac:dyDescent="0.2">
      <c r="A48" s="334"/>
      <c r="B48" s="8" t="s">
        <v>26</v>
      </c>
      <c r="C48" s="8"/>
      <c r="D48" s="8"/>
      <c r="E48" s="8" t="s">
        <v>28</v>
      </c>
      <c r="F48" s="7"/>
      <c r="G48" s="10"/>
      <c r="H48" s="98"/>
    </row>
  </sheetData>
  <mergeCells count="5">
    <mergeCell ref="A4:A11"/>
    <mergeCell ref="A23:A29"/>
    <mergeCell ref="A31:A39"/>
    <mergeCell ref="A41:A48"/>
    <mergeCell ref="A13:A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CB9F-8080-47EF-B249-929204498103}">
  <dimension ref="A1:O87"/>
  <sheetViews>
    <sheetView topLeftCell="E68" workbookViewId="0">
      <selection activeCell="G44" sqref="G44"/>
    </sheetView>
  </sheetViews>
  <sheetFormatPr defaultRowHeight="15" x14ac:dyDescent="0.2"/>
  <cols>
    <col min="1" max="1" width="10.492187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35">
        <v>46139</v>
      </c>
      <c r="B7" s="53" t="s">
        <v>1039</v>
      </c>
      <c r="C7" s="53" t="s">
        <v>1040</v>
      </c>
      <c r="D7" s="53" t="s">
        <v>1040</v>
      </c>
      <c r="E7" s="53"/>
      <c r="F7" s="53"/>
      <c r="G7" s="53"/>
      <c r="H7" s="74" t="s">
        <v>1041</v>
      </c>
      <c r="I7" s="56" t="s">
        <v>1042</v>
      </c>
      <c r="J7" s="56" t="s">
        <v>1042</v>
      </c>
      <c r="K7" s="371"/>
      <c r="L7" s="371"/>
    </row>
    <row r="8" spans="1:12" ht="54.75" x14ac:dyDescent="0.2">
      <c r="A8" s="335"/>
      <c r="B8" s="9" t="s">
        <v>1043</v>
      </c>
      <c r="C8" s="9" t="s">
        <v>1044</v>
      </c>
      <c r="D8" s="9">
        <v>8260098953</v>
      </c>
      <c r="E8" s="9"/>
      <c r="F8" s="9"/>
      <c r="G8" s="9"/>
      <c r="H8" s="9" t="s">
        <v>1045</v>
      </c>
      <c r="I8" s="9">
        <v>8260099020</v>
      </c>
      <c r="J8" s="9">
        <v>8260099017</v>
      </c>
      <c r="K8" s="371"/>
      <c r="L8" s="371"/>
    </row>
    <row r="9" spans="1:12" x14ac:dyDescent="0.2">
      <c r="A9" s="336">
        <v>46140</v>
      </c>
      <c r="B9" s="47" t="s">
        <v>1046</v>
      </c>
      <c r="C9" s="47" t="s">
        <v>1047</v>
      </c>
      <c r="D9" s="47" t="s">
        <v>1048</v>
      </c>
      <c r="E9" s="66" t="s">
        <v>1049</v>
      </c>
      <c r="F9" s="109" t="s">
        <v>1050</v>
      </c>
      <c r="G9" s="16"/>
      <c r="H9" s="63" t="s">
        <v>1051</v>
      </c>
      <c r="I9" s="63" t="s">
        <v>1052</v>
      </c>
      <c r="J9" s="63" t="s">
        <v>1052</v>
      </c>
      <c r="K9" s="372" t="s">
        <v>827</v>
      </c>
      <c r="L9" s="372"/>
    </row>
    <row r="10" spans="1:12" ht="45" customHeight="1" x14ac:dyDescent="0.2">
      <c r="A10" s="336"/>
      <c r="B10" s="9" t="s">
        <v>1053</v>
      </c>
      <c r="C10" s="9">
        <v>8260099031</v>
      </c>
      <c r="D10" s="9" t="s">
        <v>1054</v>
      </c>
      <c r="E10" s="9" t="s">
        <v>1055</v>
      </c>
      <c r="F10" s="9">
        <v>8260099026</v>
      </c>
      <c r="G10" s="9"/>
      <c r="H10" s="9">
        <v>8260099090</v>
      </c>
      <c r="I10" s="9">
        <v>8260099089</v>
      </c>
      <c r="J10" s="9">
        <v>8260099088</v>
      </c>
      <c r="K10" s="372"/>
      <c r="L10" s="372"/>
    </row>
    <row r="11" spans="1:12" ht="15" customHeight="1" x14ac:dyDescent="0.2">
      <c r="A11" s="336">
        <v>46141</v>
      </c>
      <c r="B11" s="47" t="s">
        <v>1056</v>
      </c>
      <c r="C11" s="47" t="s">
        <v>1057</v>
      </c>
      <c r="D11" s="47" t="s">
        <v>1057</v>
      </c>
      <c r="E11" s="66"/>
      <c r="F11" s="66"/>
      <c r="G11" s="66"/>
      <c r="H11" s="115" t="s">
        <v>1058</v>
      </c>
      <c r="I11" s="116" t="s">
        <v>1059</v>
      </c>
      <c r="J11" s="116" t="s">
        <v>1059</v>
      </c>
      <c r="K11" s="278" t="s">
        <v>1060</v>
      </c>
      <c r="L11" s="278"/>
    </row>
    <row r="12" spans="1:12" ht="68.25" x14ac:dyDescent="0.2">
      <c r="A12" s="336"/>
      <c r="B12" s="9" t="s">
        <v>1061</v>
      </c>
      <c r="C12" s="9" t="s">
        <v>1062</v>
      </c>
      <c r="D12" s="9" t="s">
        <v>1063</v>
      </c>
      <c r="E12" s="9"/>
      <c r="F12" s="9"/>
      <c r="G12" s="9"/>
      <c r="H12" s="9">
        <v>8260099159</v>
      </c>
      <c r="I12" s="9">
        <v>8260099160</v>
      </c>
      <c r="J12" s="9">
        <v>8260099158</v>
      </c>
      <c r="K12" s="278"/>
      <c r="L12" s="278"/>
    </row>
    <row r="13" spans="1:12" x14ac:dyDescent="0.2">
      <c r="A13" s="336">
        <v>46142</v>
      </c>
      <c r="B13" s="47" t="s">
        <v>1064</v>
      </c>
      <c r="C13" s="47" t="s">
        <v>1065</v>
      </c>
      <c r="D13" s="47" t="s">
        <v>1065</v>
      </c>
      <c r="E13" s="47" t="s">
        <v>1066</v>
      </c>
      <c r="F13" s="47" t="s">
        <v>1067</v>
      </c>
      <c r="G13" s="66"/>
      <c r="H13" s="86" t="s">
        <v>1068</v>
      </c>
      <c r="I13" s="71" t="s">
        <v>1069</v>
      </c>
      <c r="J13" s="71" t="s">
        <v>1069</v>
      </c>
      <c r="K13" s="278"/>
      <c r="L13" s="278"/>
    </row>
    <row r="14" spans="1:12" ht="45" customHeight="1" x14ac:dyDescent="0.2">
      <c r="A14" s="336"/>
      <c r="B14" s="9" t="s">
        <v>1070</v>
      </c>
      <c r="C14" s="9" t="s">
        <v>1071</v>
      </c>
      <c r="D14" s="9" t="s">
        <v>1072</v>
      </c>
      <c r="E14" s="9" t="s">
        <v>1073</v>
      </c>
      <c r="F14" s="7">
        <v>8260099166</v>
      </c>
      <c r="G14" s="7"/>
      <c r="H14" s="7">
        <v>8260099227</v>
      </c>
      <c r="I14" s="9">
        <v>8260099226</v>
      </c>
      <c r="J14" s="7">
        <v>8260099225</v>
      </c>
      <c r="K14" s="278"/>
      <c r="L14" s="278"/>
    </row>
    <row r="15" spans="1:12" ht="15" customHeight="1" x14ac:dyDescent="0.2">
      <c r="A15" s="336">
        <v>46143</v>
      </c>
      <c r="B15" s="66"/>
      <c r="C15" s="66"/>
      <c r="D15" s="66"/>
      <c r="E15" s="66"/>
      <c r="F15" s="66"/>
      <c r="G15" s="66"/>
      <c r="H15" s="66"/>
      <c r="I15" s="66"/>
      <c r="J15" s="66"/>
      <c r="K15" s="278" t="s">
        <v>1074</v>
      </c>
      <c r="L15" s="278"/>
    </row>
    <row r="16" spans="1:12" ht="45" customHeight="1" x14ac:dyDescent="0.2">
      <c r="A16" s="336"/>
      <c r="B16" s="9"/>
      <c r="C16" s="9"/>
      <c r="D16" s="9"/>
      <c r="E16" s="9"/>
      <c r="F16" s="9"/>
      <c r="G16" s="9"/>
      <c r="H16" s="7"/>
      <c r="I16" s="9"/>
      <c r="J16" s="7"/>
      <c r="K16" s="278"/>
      <c r="L16" s="278"/>
    </row>
    <row r="17" spans="1:10" x14ac:dyDescent="0.2">
      <c r="C17" s="2"/>
      <c r="D17" s="2"/>
      <c r="E17" s="2"/>
      <c r="F17" s="2"/>
      <c r="G17" s="2"/>
    </row>
    <row r="18" spans="1:10" x14ac:dyDescent="0.2">
      <c r="C18" s="2"/>
      <c r="D18" s="2"/>
      <c r="E18" s="2"/>
      <c r="F18" s="2"/>
      <c r="G18" s="2"/>
    </row>
    <row r="19" spans="1:10" ht="15" customHeight="1" x14ac:dyDescent="0.2">
      <c r="A19" s="280" t="s">
        <v>34</v>
      </c>
      <c r="B19" s="286" t="s">
        <v>379</v>
      </c>
      <c r="C19" s="286" t="s">
        <v>83</v>
      </c>
      <c r="D19" s="286" t="s">
        <v>84</v>
      </c>
      <c r="E19" s="373" t="s">
        <v>8</v>
      </c>
      <c r="F19" s="105"/>
      <c r="G19" s="105"/>
    </row>
    <row r="20" spans="1:10" x14ac:dyDescent="0.2">
      <c r="A20" s="280"/>
      <c r="B20" s="286"/>
      <c r="C20" s="286"/>
      <c r="D20" s="286"/>
      <c r="E20" s="330"/>
      <c r="F20" s="105"/>
      <c r="G20" s="105"/>
    </row>
    <row r="21" spans="1:10" x14ac:dyDescent="0.2">
      <c r="A21" s="280"/>
      <c r="B21" s="14" t="s">
        <v>380</v>
      </c>
      <c r="C21" s="15" t="s">
        <v>381</v>
      </c>
      <c r="D21" s="15" t="s">
        <v>382</v>
      </c>
      <c r="E21" s="104"/>
      <c r="F21" s="105"/>
      <c r="G21" s="105"/>
    </row>
    <row r="22" spans="1:10" s="6" customFormat="1" x14ac:dyDescent="0.2">
      <c r="A22" s="335">
        <v>46139</v>
      </c>
      <c r="B22" s="53" t="s">
        <v>1075</v>
      </c>
      <c r="C22" s="53"/>
      <c r="D22" s="53"/>
      <c r="E22" s="101"/>
      <c r="F22" s="106"/>
      <c r="G22" s="106"/>
    </row>
    <row r="23" spans="1:10" s="6" customFormat="1" ht="108" x14ac:dyDescent="0.2">
      <c r="A23" s="335"/>
      <c r="B23" s="9" t="s">
        <v>1076</v>
      </c>
      <c r="C23" s="9"/>
      <c r="D23" s="7"/>
      <c r="E23" s="101"/>
      <c r="F23" s="106"/>
      <c r="G23" s="106"/>
      <c r="I23" s="110"/>
      <c r="J23" s="110"/>
    </row>
    <row r="24" spans="1:10" s="6" customFormat="1" x14ac:dyDescent="0.2">
      <c r="A24" s="336">
        <v>46140</v>
      </c>
      <c r="B24" s="53" t="s">
        <v>1077</v>
      </c>
      <c r="C24" s="11"/>
      <c r="D24" s="11"/>
      <c r="E24" s="102"/>
      <c r="F24" s="107"/>
      <c r="G24" s="107"/>
    </row>
    <row r="25" spans="1:10" s="6" customFormat="1" ht="54.75" x14ac:dyDescent="0.2">
      <c r="A25" s="336"/>
      <c r="B25" s="9" t="s">
        <v>1078</v>
      </c>
      <c r="C25" s="7"/>
      <c r="D25" s="7"/>
      <c r="E25" s="102"/>
      <c r="F25" s="107"/>
      <c r="G25" s="107"/>
    </row>
    <row r="26" spans="1:10" s="6" customFormat="1" x14ac:dyDescent="0.2">
      <c r="A26" s="336">
        <v>46141</v>
      </c>
      <c r="B26" s="53" t="s">
        <v>1079</v>
      </c>
      <c r="C26" s="11"/>
      <c r="D26" s="53"/>
      <c r="E26" s="103"/>
      <c r="F26" s="108"/>
      <c r="G26" s="108"/>
    </row>
    <row r="27" spans="1:10" s="6" customFormat="1" ht="68.25" x14ac:dyDescent="0.2">
      <c r="A27" s="336"/>
      <c r="B27" s="9" t="s">
        <v>1080</v>
      </c>
      <c r="C27" s="7"/>
      <c r="D27" s="7"/>
      <c r="E27" s="103"/>
      <c r="F27" s="108"/>
      <c r="G27" s="108"/>
    </row>
    <row r="28" spans="1:10" s="6" customFormat="1" x14ac:dyDescent="0.2">
      <c r="A28" s="336">
        <v>46142</v>
      </c>
      <c r="B28" s="115" t="s">
        <v>1081</v>
      </c>
      <c r="C28" s="56"/>
      <c r="D28" s="11"/>
      <c r="E28" s="103"/>
      <c r="F28" s="108"/>
      <c r="G28" s="108"/>
    </row>
    <row r="29" spans="1:10" s="6" customFormat="1" ht="54.75" x14ac:dyDescent="0.2">
      <c r="A29" s="336"/>
      <c r="B29" s="119" t="s">
        <v>1082</v>
      </c>
      <c r="C29" s="9"/>
      <c r="D29" s="7"/>
      <c r="E29" s="117" t="s">
        <v>1083</v>
      </c>
      <c r="F29" s="108"/>
      <c r="G29" s="108"/>
    </row>
    <row r="30" spans="1:10" s="6" customFormat="1" x14ac:dyDescent="0.2">
      <c r="A30" s="336">
        <v>46143</v>
      </c>
      <c r="B30" s="74"/>
      <c r="C30" s="56"/>
      <c r="D30" s="53"/>
      <c r="E30" s="103"/>
      <c r="F30" s="108"/>
      <c r="G30" s="108"/>
    </row>
    <row r="31" spans="1:10" s="6" customFormat="1" x14ac:dyDescent="0.2">
      <c r="A31" s="336"/>
      <c r="B31" s="9"/>
      <c r="C31" s="7"/>
      <c r="D31" s="7"/>
      <c r="E31" s="103"/>
      <c r="F31" s="108"/>
      <c r="G31" s="108"/>
    </row>
    <row r="32" spans="1:10" x14ac:dyDescent="0.2">
      <c r="C32" s="2"/>
      <c r="D32" s="2"/>
      <c r="E32" s="2"/>
      <c r="F32" s="2"/>
      <c r="G32" s="2"/>
    </row>
    <row r="33" spans="1:15" x14ac:dyDescent="0.2">
      <c r="C33" s="2"/>
      <c r="D33" s="2"/>
      <c r="E33" s="2"/>
      <c r="F33" s="2"/>
      <c r="G33" s="2"/>
    </row>
    <row r="34" spans="1:15" x14ac:dyDescent="0.2">
      <c r="A34" s="279" t="s">
        <v>96</v>
      </c>
      <c r="B34" s="279"/>
      <c r="C34" s="279"/>
      <c r="D34" s="279"/>
      <c r="E34" s="279"/>
      <c r="F34" s="279"/>
      <c r="G34" s="279"/>
      <c r="H34" s="279"/>
      <c r="I34" s="279"/>
      <c r="J34" s="279"/>
      <c r="K34" s="38"/>
      <c r="L34" s="38"/>
    </row>
    <row r="35" spans="1:15" ht="27.75" x14ac:dyDescent="0.2">
      <c r="A35" s="280" t="s">
        <v>34</v>
      </c>
      <c r="B35" s="4" t="s">
        <v>97</v>
      </c>
      <c r="C35" s="5" t="s">
        <v>98</v>
      </c>
      <c r="D35" s="5" t="s">
        <v>99</v>
      </c>
      <c r="E35" s="5" t="s">
        <v>100</v>
      </c>
      <c r="F35" s="5" t="s">
        <v>101</v>
      </c>
      <c r="G35" s="5" t="s">
        <v>102</v>
      </c>
      <c r="H35" s="291" t="s">
        <v>8</v>
      </c>
      <c r="I35" s="291"/>
      <c r="J35" s="291"/>
    </row>
    <row r="36" spans="1:15" x14ac:dyDescent="0.2">
      <c r="A36" s="280"/>
      <c r="B36" s="14" t="s">
        <v>103</v>
      </c>
      <c r="C36" s="15" t="s">
        <v>104</v>
      </c>
      <c r="D36" s="15" t="s">
        <v>42</v>
      </c>
      <c r="E36" s="15" t="s">
        <v>105</v>
      </c>
      <c r="F36" s="15" t="s">
        <v>106</v>
      </c>
      <c r="G36" s="15" t="s">
        <v>107</v>
      </c>
      <c r="H36" s="291"/>
      <c r="I36" s="291"/>
      <c r="J36" s="291"/>
    </row>
    <row r="37" spans="1:15" x14ac:dyDescent="0.2">
      <c r="A37" s="335">
        <v>46139</v>
      </c>
      <c r="B37" s="61" t="s">
        <v>1084</v>
      </c>
      <c r="C37" s="61" t="s">
        <v>1085</v>
      </c>
      <c r="D37" s="61" t="s">
        <v>1086</v>
      </c>
      <c r="E37" s="61" t="s">
        <v>1087</v>
      </c>
      <c r="F37" s="61" t="s">
        <v>1088</v>
      </c>
      <c r="G37" s="61" t="s">
        <v>1089</v>
      </c>
      <c r="H37" s="278"/>
      <c r="I37" s="278"/>
      <c r="J37" s="278"/>
    </row>
    <row r="38" spans="1:15" ht="45" customHeight="1" x14ac:dyDescent="0.2">
      <c r="A38" s="335"/>
      <c r="B38" s="9">
        <v>8260099005</v>
      </c>
      <c r="C38" s="9" t="s">
        <v>1090</v>
      </c>
      <c r="D38" s="9">
        <v>8260099007</v>
      </c>
      <c r="E38" s="9">
        <v>8260099006</v>
      </c>
      <c r="F38" s="9">
        <v>8260098989</v>
      </c>
      <c r="G38" s="9">
        <v>8260098996</v>
      </c>
      <c r="H38" s="278"/>
      <c r="I38" s="278"/>
      <c r="J38" s="278"/>
    </row>
    <row r="39" spans="1:15" x14ac:dyDescent="0.2">
      <c r="A39" s="336">
        <v>46140</v>
      </c>
      <c r="B39" s="61" t="s">
        <v>1091</v>
      </c>
      <c r="C39" s="61" t="s">
        <v>1092</v>
      </c>
      <c r="D39" s="61" t="s">
        <v>1093</v>
      </c>
      <c r="E39" s="61" t="s">
        <v>1094</v>
      </c>
      <c r="F39" s="61" t="s">
        <v>1095</v>
      </c>
      <c r="G39" s="61" t="s">
        <v>1096</v>
      </c>
      <c r="H39" s="319"/>
      <c r="I39" s="319"/>
      <c r="J39" s="319"/>
    </row>
    <row r="40" spans="1:15" ht="45" customHeight="1" x14ac:dyDescent="0.2">
      <c r="A40" s="336"/>
      <c r="B40" s="9">
        <v>8260099064</v>
      </c>
      <c r="C40" s="9" t="s">
        <v>1097</v>
      </c>
      <c r="D40" s="9">
        <v>8260099066</v>
      </c>
      <c r="E40" s="9">
        <v>8260099083</v>
      </c>
      <c r="F40" s="9" t="s">
        <v>1098</v>
      </c>
      <c r="G40" s="9">
        <v>8260099065</v>
      </c>
      <c r="H40" s="319"/>
      <c r="I40" s="319"/>
      <c r="J40" s="319"/>
    </row>
    <row r="41" spans="1:15" x14ac:dyDescent="0.2">
      <c r="A41" s="336">
        <v>46141</v>
      </c>
      <c r="B41" s="61" t="s">
        <v>1099</v>
      </c>
      <c r="C41" s="61" t="s">
        <v>1100</v>
      </c>
      <c r="D41" s="61" t="s">
        <v>1101</v>
      </c>
      <c r="E41" s="61" t="s">
        <v>1102</v>
      </c>
      <c r="F41" s="61" t="s">
        <v>1103</v>
      </c>
      <c r="G41" s="61"/>
      <c r="H41" s="278"/>
      <c r="I41" s="278"/>
      <c r="J41" s="278"/>
    </row>
    <row r="42" spans="1:15" ht="45" customHeight="1" x14ac:dyDescent="0.2">
      <c r="A42" s="336"/>
      <c r="B42" s="9">
        <v>8260099148</v>
      </c>
      <c r="C42" s="9" t="s">
        <v>1104</v>
      </c>
      <c r="D42" s="9">
        <v>8260099123</v>
      </c>
      <c r="E42" s="9">
        <v>8260099144</v>
      </c>
      <c r="F42" s="9" t="s">
        <v>1105</v>
      </c>
      <c r="G42" s="9"/>
      <c r="H42" s="278"/>
      <c r="I42" s="278"/>
      <c r="J42" s="278"/>
    </row>
    <row r="43" spans="1:15" ht="15" customHeight="1" x14ac:dyDescent="0.2">
      <c r="A43" s="336">
        <v>46142</v>
      </c>
      <c r="B43" s="61" t="s">
        <v>1106</v>
      </c>
      <c r="C43" s="61" t="s">
        <v>1107</v>
      </c>
      <c r="D43" s="61" t="s">
        <v>1108</v>
      </c>
      <c r="E43" s="61" t="s">
        <v>1109</v>
      </c>
      <c r="F43" s="61"/>
      <c r="G43" s="61" t="s">
        <v>1110</v>
      </c>
      <c r="H43" s="278" t="s">
        <v>1111</v>
      </c>
      <c r="I43" s="278"/>
      <c r="J43" s="278"/>
    </row>
    <row r="44" spans="1:15" ht="45" customHeight="1" x14ac:dyDescent="0.2">
      <c r="A44" s="336"/>
      <c r="B44" s="9">
        <v>8260099212</v>
      </c>
      <c r="C44" s="9" t="s">
        <v>1112</v>
      </c>
      <c r="D44" s="9">
        <v>8260099217</v>
      </c>
      <c r="E44" s="9">
        <v>8260099215</v>
      </c>
      <c r="F44" s="9" t="s">
        <v>1113</v>
      </c>
      <c r="G44" s="9">
        <v>8260099219</v>
      </c>
      <c r="H44" s="278"/>
      <c r="I44" s="278"/>
      <c r="J44" s="278"/>
    </row>
    <row r="45" spans="1:15" x14ac:dyDescent="0.2">
      <c r="A45" s="336">
        <v>46143</v>
      </c>
      <c r="B45" s="61"/>
      <c r="C45" s="61"/>
      <c r="D45" s="61"/>
      <c r="E45" s="61"/>
      <c r="F45" s="61"/>
      <c r="G45" s="61"/>
      <c r="H45" s="319" t="s">
        <v>1074</v>
      </c>
      <c r="I45" s="319"/>
      <c r="J45" s="319"/>
    </row>
    <row r="46" spans="1:15" s="6" customFormat="1" ht="45" customHeight="1" x14ac:dyDescent="0.2">
      <c r="A46" s="336"/>
      <c r="B46" s="9"/>
      <c r="C46" s="9"/>
      <c r="D46" s="9"/>
      <c r="E46" s="9"/>
      <c r="F46" s="9"/>
      <c r="G46" s="9"/>
      <c r="H46" s="319"/>
      <c r="I46" s="319"/>
      <c r="J46" s="319"/>
    </row>
    <row r="47" spans="1:1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5" x14ac:dyDescent="0.2">
      <c r="A48" s="279" t="s">
        <v>143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38"/>
      <c r="N48" s="38"/>
      <c r="O48" s="38"/>
    </row>
    <row r="49" spans="1:12" ht="41.25" x14ac:dyDescent="0.2">
      <c r="A49" s="280" t="s">
        <v>34</v>
      </c>
      <c r="B49" s="5" t="s">
        <v>144</v>
      </c>
      <c r="C49" s="5" t="s">
        <v>145</v>
      </c>
      <c r="D49" s="5" t="s">
        <v>146</v>
      </c>
      <c r="E49" s="5" t="s">
        <v>662</v>
      </c>
      <c r="F49" s="5" t="s">
        <v>148</v>
      </c>
      <c r="G49" s="5" t="s">
        <v>149</v>
      </c>
      <c r="H49" s="5" t="s">
        <v>150</v>
      </c>
      <c r="I49" s="5" t="s">
        <v>151</v>
      </c>
      <c r="J49" s="5" t="s">
        <v>152</v>
      </c>
      <c r="K49" s="5" t="s">
        <v>663</v>
      </c>
      <c r="L49" s="282" t="s">
        <v>8</v>
      </c>
    </row>
    <row r="50" spans="1:12" x14ac:dyDescent="0.2">
      <c r="A50" s="280"/>
      <c r="B50" s="15" t="s">
        <v>153</v>
      </c>
      <c r="C50" s="15" t="s">
        <v>153</v>
      </c>
      <c r="D50" s="15" t="s">
        <v>154</v>
      </c>
      <c r="E50" s="15" t="s">
        <v>155</v>
      </c>
      <c r="F50" s="15" t="s">
        <v>156</v>
      </c>
      <c r="G50" s="15" t="s">
        <v>156</v>
      </c>
      <c r="H50" s="15" t="s">
        <v>45</v>
      </c>
      <c r="I50" s="15" t="s">
        <v>157</v>
      </c>
      <c r="J50" s="15" t="s">
        <v>157</v>
      </c>
      <c r="K50" s="15" t="s">
        <v>106</v>
      </c>
      <c r="L50" s="282"/>
    </row>
    <row r="51" spans="1:12" x14ac:dyDescent="0.2">
      <c r="A51" s="335">
        <v>46139</v>
      </c>
      <c r="B51" s="61" t="s">
        <v>1114</v>
      </c>
      <c r="C51" s="61" t="s">
        <v>1115</v>
      </c>
      <c r="D51" s="61" t="s">
        <v>1116</v>
      </c>
      <c r="E51" s="61" t="s">
        <v>1117</v>
      </c>
      <c r="F51" s="61" t="s">
        <v>1118</v>
      </c>
      <c r="G51" s="61" t="s">
        <v>1119</v>
      </c>
      <c r="H51" s="61" t="s">
        <v>1120</v>
      </c>
      <c r="I51" s="61"/>
      <c r="J51" s="53"/>
      <c r="K51" s="66"/>
      <c r="L51" s="323"/>
    </row>
    <row r="52" spans="1:12" ht="45" customHeight="1" x14ac:dyDescent="0.2">
      <c r="A52" s="335"/>
      <c r="B52" s="9">
        <v>8260098981</v>
      </c>
      <c r="C52" s="9" t="s">
        <v>1121</v>
      </c>
      <c r="D52" s="9">
        <v>8260098980</v>
      </c>
      <c r="E52" s="9">
        <v>8260098979</v>
      </c>
      <c r="F52" s="9">
        <v>8260098995</v>
      </c>
      <c r="G52" s="9">
        <v>8260099001</v>
      </c>
      <c r="H52" s="9">
        <v>8260098993</v>
      </c>
      <c r="I52" s="9"/>
      <c r="J52" s="7"/>
      <c r="K52" s="9"/>
      <c r="L52" s="325"/>
    </row>
    <row r="53" spans="1:12" x14ac:dyDescent="0.2">
      <c r="A53" s="336">
        <v>46140</v>
      </c>
      <c r="B53" s="61" t="s">
        <v>1122</v>
      </c>
      <c r="C53" s="61" t="s">
        <v>1123</v>
      </c>
      <c r="D53" s="61" t="s">
        <v>1124</v>
      </c>
      <c r="E53" s="61" t="s">
        <v>1125</v>
      </c>
      <c r="F53" s="61" t="s">
        <v>1126</v>
      </c>
      <c r="G53" s="61" t="s">
        <v>1127</v>
      </c>
      <c r="H53" s="61" t="s">
        <v>1128</v>
      </c>
      <c r="I53" s="61"/>
      <c r="J53" s="53"/>
      <c r="K53" s="66" t="s">
        <v>1129</v>
      </c>
      <c r="L53" s="323"/>
    </row>
    <row r="54" spans="1:12" ht="45" customHeight="1" x14ac:dyDescent="0.2">
      <c r="A54" s="336"/>
      <c r="B54" s="9">
        <v>8260099057</v>
      </c>
      <c r="C54" s="9" t="s">
        <v>1130</v>
      </c>
      <c r="D54" s="9">
        <v>8260099079</v>
      </c>
      <c r="E54" s="9">
        <v>8260099053</v>
      </c>
      <c r="F54" s="9">
        <v>8260099063</v>
      </c>
      <c r="G54" s="9">
        <v>8260099084</v>
      </c>
      <c r="H54" s="9">
        <v>8260099055</v>
      </c>
      <c r="I54" s="9"/>
      <c r="J54" s="7"/>
      <c r="K54" s="9">
        <v>8260099051</v>
      </c>
      <c r="L54" s="325"/>
    </row>
    <row r="55" spans="1:12" x14ac:dyDescent="0.2">
      <c r="A55" s="336">
        <v>46141</v>
      </c>
      <c r="B55" s="61" t="s">
        <v>1131</v>
      </c>
      <c r="C55" s="61" t="s">
        <v>1132</v>
      </c>
      <c r="D55" s="61" t="s">
        <v>1133</v>
      </c>
      <c r="E55" s="61" t="s">
        <v>1134</v>
      </c>
      <c r="F55" s="61" t="s">
        <v>1135</v>
      </c>
      <c r="G55" s="61" t="s">
        <v>1136</v>
      </c>
      <c r="H55" s="61" t="s">
        <v>1137</v>
      </c>
      <c r="I55" s="61"/>
      <c r="J55" s="53"/>
      <c r="K55" s="66" t="s">
        <v>1138</v>
      </c>
      <c r="L55" s="366"/>
    </row>
    <row r="56" spans="1:12" ht="45" customHeight="1" x14ac:dyDescent="0.2">
      <c r="A56" s="336"/>
      <c r="B56" s="9">
        <v>8260099131</v>
      </c>
      <c r="C56" s="9" t="s">
        <v>1139</v>
      </c>
      <c r="D56" s="9">
        <v>8260099135</v>
      </c>
      <c r="E56" s="9">
        <v>8260099136</v>
      </c>
      <c r="F56" s="9">
        <v>8260099154</v>
      </c>
      <c r="G56" s="9">
        <v>8260099128</v>
      </c>
      <c r="H56" s="9">
        <v>8260099121</v>
      </c>
      <c r="I56" s="9"/>
      <c r="J56" s="7"/>
      <c r="K56" s="9">
        <v>8260099140</v>
      </c>
      <c r="L56" s="367"/>
    </row>
    <row r="57" spans="1:12" x14ac:dyDescent="0.2">
      <c r="A57" s="336">
        <v>46142</v>
      </c>
      <c r="B57" s="17" t="s">
        <v>1108</v>
      </c>
      <c r="C57" s="61" t="s">
        <v>1140</v>
      </c>
      <c r="D57" s="61" t="s">
        <v>1141</v>
      </c>
      <c r="E57" s="61" t="s">
        <v>1142</v>
      </c>
      <c r="F57" s="61" t="s">
        <v>1143</v>
      </c>
      <c r="G57" s="61" t="s">
        <v>1144</v>
      </c>
      <c r="H57" s="61" t="s">
        <v>1145</v>
      </c>
      <c r="I57" s="61"/>
      <c r="J57" s="53"/>
      <c r="K57" s="61" t="s">
        <v>1146</v>
      </c>
      <c r="L57" s="323" t="s">
        <v>1147</v>
      </c>
    </row>
    <row r="58" spans="1:12" ht="45" customHeight="1" x14ac:dyDescent="0.2">
      <c r="A58" s="336"/>
      <c r="B58" s="119">
        <v>8260099204</v>
      </c>
      <c r="C58" s="9" t="s">
        <v>1148</v>
      </c>
      <c r="D58" s="9">
        <v>8260099202</v>
      </c>
      <c r="E58" s="9">
        <v>8260099200</v>
      </c>
      <c r="F58" s="9">
        <v>8260099205</v>
      </c>
      <c r="G58" s="9">
        <v>8260099222</v>
      </c>
      <c r="H58" s="9">
        <v>8260099191</v>
      </c>
      <c r="I58" s="9"/>
      <c r="J58" s="7"/>
      <c r="K58" s="9">
        <v>8260099193</v>
      </c>
      <c r="L58" s="325"/>
    </row>
    <row r="59" spans="1:12" x14ac:dyDescent="0.2">
      <c r="A59" s="336">
        <v>46143</v>
      </c>
      <c r="B59" s="61"/>
      <c r="C59" s="61"/>
      <c r="D59" s="61"/>
      <c r="E59" s="61"/>
      <c r="F59" s="61"/>
      <c r="G59" s="61"/>
      <c r="H59" s="61"/>
      <c r="I59" s="61"/>
      <c r="J59" s="53"/>
      <c r="K59" s="66"/>
      <c r="L59" s="323" t="s">
        <v>1074</v>
      </c>
    </row>
    <row r="60" spans="1:12" ht="45" customHeight="1" x14ac:dyDescent="0.2">
      <c r="A60" s="336"/>
      <c r="B60" s="9"/>
      <c r="C60" s="9"/>
      <c r="D60" s="9"/>
      <c r="E60" s="9"/>
      <c r="F60" s="9"/>
      <c r="G60" s="9"/>
      <c r="H60" s="9"/>
      <c r="I60" s="9"/>
      <c r="J60" s="7"/>
      <c r="K60" s="9"/>
      <c r="L60" s="325"/>
    </row>
    <row r="62" spans="1:12" ht="27.75" x14ac:dyDescent="0.2">
      <c r="A62" s="280" t="s">
        <v>34</v>
      </c>
      <c r="B62" s="5" t="s">
        <v>196</v>
      </c>
      <c r="C62" s="5" t="s">
        <v>472</v>
      </c>
      <c r="D62" s="5" t="s">
        <v>198</v>
      </c>
      <c r="E62" s="5" t="s">
        <v>199</v>
      </c>
      <c r="F62" s="5" t="s">
        <v>200</v>
      </c>
      <c r="G62" s="5" t="s">
        <v>201</v>
      </c>
      <c r="H62" s="5" t="s">
        <v>202</v>
      </c>
      <c r="I62" s="5" t="s">
        <v>203</v>
      </c>
      <c r="J62" s="5" t="s">
        <v>204</v>
      </c>
      <c r="K62" s="5" t="s">
        <v>1149</v>
      </c>
      <c r="L62" s="104" t="s">
        <v>8</v>
      </c>
    </row>
    <row r="63" spans="1:12" x14ac:dyDescent="0.2">
      <c r="A63" s="280"/>
      <c r="B63" s="15" t="s">
        <v>153</v>
      </c>
      <c r="C63" s="15" t="s">
        <v>205</v>
      </c>
      <c r="D63" s="15" t="s">
        <v>206</v>
      </c>
      <c r="E63" s="15" t="s">
        <v>207</v>
      </c>
      <c r="F63" s="15" t="s">
        <v>208</v>
      </c>
      <c r="G63" s="15" t="s">
        <v>207</v>
      </c>
      <c r="H63" s="15" t="s">
        <v>103</v>
      </c>
      <c r="I63" s="15" t="s">
        <v>208</v>
      </c>
      <c r="J63" s="15" t="s">
        <v>209</v>
      </c>
      <c r="K63" s="15" t="s">
        <v>1150</v>
      </c>
      <c r="L63" s="104"/>
    </row>
    <row r="64" spans="1:12" x14ac:dyDescent="0.2">
      <c r="A64" s="335">
        <v>46139</v>
      </c>
      <c r="B64" s="61" t="s">
        <v>1151</v>
      </c>
      <c r="C64" s="61" t="s">
        <v>1152</v>
      </c>
      <c r="D64" s="61" t="s">
        <v>1153</v>
      </c>
      <c r="E64" s="61" t="s">
        <v>1154</v>
      </c>
      <c r="F64" s="61" t="s">
        <v>1155</v>
      </c>
      <c r="G64" s="61" t="s">
        <v>1156</v>
      </c>
      <c r="H64" s="61" t="s">
        <v>1157</v>
      </c>
      <c r="I64" s="61" t="s">
        <v>1158</v>
      </c>
      <c r="J64" s="66"/>
      <c r="K64" s="66"/>
      <c r="L64" s="103"/>
    </row>
    <row r="65" spans="1:14" ht="45" customHeight="1" x14ac:dyDescent="0.2">
      <c r="A65" s="335"/>
      <c r="B65" s="9">
        <v>8260098987</v>
      </c>
      <c r="C65" s="9">
        <v>8260098994</v>
      </c>
      <c r="D65" s="9">
        <v>8260098988</v>
      </c>
      <c r="E65" s="9">
        <v>8260098992</v>
      </c>
      <c r="F65" s="9">
        <v>8260098998</v>
      </c>
      <c r="G65" s="9">
        <v>8260098985</v>
      </c>
      <c r="H65" s="9">
        <v>8260098984</v>
      </c>
      <c r="I65" s="9" t="s">
        <v>1159</v>
      </c>
      <c r="J65" s="9"/>
      <c r="K65" s="9"/>
      <c r="L65" s="103"/>
    </row>
    <row r="66" spans="1:14" x14ac:dyDescent="0.2">
      <c r="A66" s="336">
        <v>46140</v>
      </c>
      <c r="B66" s="61" t="s">
        <v>1160</v>
      </c>
      <c r="C66" s="61" t="s">
        <v>1161</v>
      </c>
      <c r="D66" s="61" t="s">
        <v>1162</v>
      </c>
      <c r="E66" s="61" t="s">
        <v>1091</v>
      </c>
      <c r="F66" s="61" t="s">
        <v>1163</v>
      </c>
      <c r="G66" s="61" t="s">
        <v>1164</v>
      </c>
      <c r="H66" s="61" t="s">
        <v>1165</v>
      </c>
      <c r="I66" s="61" t="s">
        <v>1166</v>
      </c>
      <c r="J66" s="66"/>
      <c r="K66" s="66"/>
      <c r="L66" s="111"/>
    </row>
    <row r="67" spans="1:14" ht="45" customHeight="1" x14ac:dyDescent="0.2">
      <c r="A67" s="336"/>
      <c r="B67" s="9">
        <v>8260099072</v>
      </c>
      <c r="C67" s="9">
        <v>8260099056</v>
      </c>
      <c r="D67" s="9">
        <v>8260099082</v>
      </c>
      <c r="E67" s="9">
        <v>8260099078</v>
      </c>
      <c r="F67" s="9">
        <v>8260099068</v>
      </c>
      <c r="G67" s="9">
        <v>8260099085</v>
      </c>
      <c r="H67" s="9">
        <v>8260099071</v>
      </c>
      <c r="I67" s="9" t="s">
        <v>1167</v>
      </c>
      <c r="J67" s="7"/>
      <c r="K67" s="9"/>
      <c r="L67" s="111"/>
    </row>
    <row r="68" spans="1:14" x14ac:dyDescent="0.2">
      <c r="A68" s="336">
        <v>46141</v>
      </c>
      <c r="B68" s="61" t="s">
        <v>1168</v>
      </c>
      <c r="C68" s="61" t="s">
        <v>1169</v>
      </c>
      <c r="D68" s="61" t="s">
        <v>1170</v>
      </c>
      <c r="E68" s="61" t="s">
        <v>1171</v>
      </c>
      <c r="F68" s="61" t="s">
        <v>1172</v>
      </c>
      <c r="G68" s="61" t="s">
        <v>1173</v>
      </c>
      <c r="H68" s="61" t="s">
        <v>1174</v>
      </c>
      <c r="I68" s="61" t="s">
        <v>1175</v>
      </c>
      <c r="J68" s="53"/>
      <c r="K68" s="66"/>
      <c r="L68" s="111"/>
    </row>
    <row r="69" spans="1:14" ht="45" customHeight="1" x14ac:dyDescent="0.2">
      <c r="A69" s="336"/>
      <c r="B69" s="9">
        <v>8260099146</v>
      </c>
      <c r="C69" s="9">
        <v>8260099124</v>
      </c>
      <c r="D69" s="9">
        <v>8260099139</v>
      </c>
      <c r="E69" s="9">
        <v>8260099125</v>
      </c>
      <c r="F69" s="9">
        <v>8260099152</v>
      </c>
      <c r="G69" s="9">
        <v>8260099147</v>
      </c>
      <c r="H69" s="9">
        <v>8260099145</v>
      </c>
      <c r="I69" s="9" t="s">
        <v>1176</v>
      </c>
      <c r="J69" s="7"/>
      <c r="K69" s="9"/>
      <c r="L69" s="111"/>
    </row>
    <row r="70" spans="1:14" x14ac:dyDescent="0.2">
      <c r="A70" s="336">
        <v>46142</v>
      </c>
      <c r="B70" s="61" t="s">
        <v>1140</v>
      </c>
      <c r="C70" s="61" t="s">
        <v>177</v>
      </c>
      <c r="D70" s="61" t="s">
        <v>1177</v>
      </c>
      <c r="E70" s="61" t="s">
        <v>1178</v>
      </c>
      <c r="F70" s="61" t="s">
        <v>1179</v>
      </c>
      <c r="G70" s="61" t="s">
        <v>1180</v>
      </c>
      <c r="H70" s="61" t="s">
        <v>1108</v>
      </c>
      <c r="I70" s="61" t="s">
        <v>1181</v>
      </c>
      <c r="J70" s="53"/>
      <c r="K70" s="16"/>
      <c r="L70" s="111"/>
    </row>
    <row r="71" spans="1:14" ht="45" customHeight="1" x14ac:dyDescent="0.2">
      <c r="A71" s="336"/>
      <c r="B71" s="9">
        <v>8260099209</v>
      </c>
      <c r="C71" s="9">
        <v>8260099190</v>
      </c>
      <c r="D71" s="9">
        <v>8260099199</v>
      </c>
      <c r="E71" s="9">
        <v>8260099203</v>
      </c>
      <c r="F71" s="9">
        <v>8260099223</v>
      </c>
      <c r="G71" s="9">
        <v>8260099220</v>
      </c>
      <c r="H71" s="9">
        <v>8260099218</v>
      </c>
      <c r="I71" s="9" t="s">
        <v>1182</v>
      </c>
      <c r="J71" s="7"/>
      <c r="K71" s="9"/>
      <c r="L71" s="111" t="s">
        <v>1183</v>
      </c>
    </row>
    <row r="72" spans="1:14" x14ac:dyDescent="0.2">
      <c r="A72" s="336">
        <v>46143</v>
      </c>
      <c r="B72" s="61"/>
      <c r="C72" s="61"/>
      <c r="D72" s="61"/>
      <c r="E72" s="61"/>
      <c r="F72" s="61"/>
      <c r="G72" s="61"/>
      <c r="H72" s="61"/>
      <c r="I72" s="61"/>
      <c r="J72" s="53"/>
      <c r="K72" s="66"/>
      <c r="L72" s="10"/>
    </row>
    <row r="73" spans="1:14" ht="45" customHeight="1" x14ac:dyDescent="0.2">
      <c r="A73" s="336"/>
      <c r="B73" s="9"/>
      <c r="C73" s="9"/>
      <c r="D73" s="9"/>
      <c r="E73" s="9"/>
      <c r="F73" s="9"/>
      <c r="G73" s="9"/>
      <c r="H73" s="9"/>
      <c r="I73" s="9"/>
      <c r="J73" s="7"/>
      <c r="K73" s="9"/>
      <c r="L73" s="111" t="s">
        <v>1074</v>
      </c>
    </row>
    <row r="75" spans="1:14" x14ac:dyDescent="0.2">
      <c r="A75" s="279" t="s">
        <v>252</v>
      </c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38"/>
      <c r="N75" s="38"/>
    </row>
    <row r="76" spans="1:14" ht="27.75" x14ac:dyDescent="0.2">
      <c r="A76" s="329" t="s">
        <v>34</v>
      </c>
      <c r="B76" s="82" t="s">
        <v>253</v>
      </c>
      <c r="C76" s="82" t="s">
        <v>254</v>
      </c>
      <c r="D76" s="82" t="s">
        <v>255</v>
      </c>
      <c r="E76" s="82" t="s">
        <v>256</v>
      </c>
      <c r="F76" s="82" t="s">
        <v>257</v>
      </c>
      <c r="G76" s="82" t="s">
        <v>258</v>
      </c>
      <c r="H76" s="82" t="s">
        <v>259</v>
      </c>
      <c r="I76" s="82" t="s">
        <v>260</v>
      </c>
      <c r="J76" s="330" t="s">
        <v>8</v>
      </c>
      <c r="K76" s="330"/>
      <c r="L76" s="330"/>
    </row>
    <row r="77" spans="1:14" x14ac:dyDescent="0.2">
      <c r="A77" s="280"/>
      <c r="B77" s="15" t="s">
        <v>154</v>
      </c>
      <c r="C77" s="15" t="s">
        <v>261</v>
      </c>
      <c r="D77" s="15" t="s">
        <v>262</v>
      </c>
      <c r="E77" s="15" t="s">
        <v>42</v>
      </c>
      <c r="F77" s="15" t="s">
        <v>263</v>
      </c>
      <c r="G77" s="15" t="s">
        <v>264</v>
      </c>
      <c r="H77" s="15" t="s">
        <v>265</v>
      </c>
      <c r="I77" s="15" t="s">
        <v>263</v>
      </c>
      <c r="J77" s="282"/>
      <c r="K77" s="282"/>
      <c r="L77" s="282"/>
    </row>
    <row r="78" spans="1:14" x14ac:dyDescent="0.2">
      <c r="A78" s="335">
        <v>46139</v>
      </c>
      <c r="B78" s="61" t="s">
        <v>1184</v>
      </c>
      <c r="C78" s="61" t="s">
        <v>1154</v>
      </c>
      <c r="D78" s="61" t="s">
        <v>1185</v>
      </c>
      <c r="E78" s="61" t="s">
        <v>1185</v>
      </c>
      <c r="F78" s="61" t="s">
        <v>1186</v>
      </c>
      <c r="G78" s="61" t="s">
        <v>1187</v>
      </c>
      <c r="H78" s="61" t="s">
        <v>1188</v>
      </c>
      <c r="I78" s="61"/>
      <c r="J78" s="331"/>
      <c r="K78" s="331"/>
      <c r="L78" s="331"/>
    </row>
    <row r="79" spans="1:14" ht="45" customHeight="1" x14ac:dyDescent="0.2">
      <c r="A79" s="335"/>
      <c r="B79" s="9" t="s">
        <v>1189</v>
      </c>
      <c r="C79" s="9">
        <v>8260099013</v>
      </c>
      <c r="D79" s="9">
        <v>8260099008</v>
      </c>
      <c r="E79" s="9">
        <v>8260099002</v>
      </c>
      <c r="F79" s="9">
        <v>8260099003</v>
      </c>
      <c r="G79" s="9">
        <v>8260098983</v>
      </c>
      <c r="H79" s="9">
        <v>8260098982</v>
      </c>
      <c r="I79" s="9"/>
      <c r="J79" s="331"/>
      <c r="K79" s="331"/>
      <c r="L79" s="331"/>
    </row>
    <row r="80" spans="1:14" x14ac:dyDescent="0.2">
      <c r="A80" s="336">
        <v>46140</v>
      </c>
      <c r="B80" s="61" t="s">
        <v>1190</v>
      </c>
      <c r="C80" s="61" t="s">
        <v>1191</v>
      </c>
      <c r="D80" s="61" t="s">
        <v>1192</v>
      </c>
      <c r="E80" s="61" t="s">
        <v>1193</v>
      </c>
      <c r="F80" s="61" t="s">
        <v>1194</v>
      </c>
      <c r="G80" s="61" t="s">
        <v>1195</v>
      </c>
      <c r="H80" s="61" t="s">
        <v>1196</v>
      </c>
      <c r="I80" s="61"/>
      <c r="J80" s="331"/>
      <c r="K80" s="331"/>
      <c r="L80" s="331"/>
    </row>
    <row r="81" spans="1:12" ht="45" customHeight="1" x14ac:dyDescent="0.2">
      <c r="A81" s="336"/>
      <c r="B81" s="9" t="s">
        <v>1197</v>
      </c>
      <c r="C81" s="9">
        <v>8260099073</v>
      </c>
      <c r="D81" s="9">
        <v>8260099074</v>
      </c>
      <c r="E81" s="9">
        <v>8260099075</v>
      </c>
      <c r="F81" s="9">
        <v>8260099054</v>
      </c>
      <c r="G81" s="9">
        <v>8260099076</v>
      </c>
      <c r="H81" s="9">
        <v>8260099062</v>
      </c>
      <c r="I81" s="9"/>
      <c r="J81" s="331"/>
      <c r="K81" s="331"/>
      <c r="L81" s="331"/>
    </row>
    <row r="82" spans="1:12" x14ac:dyDescent="0.2">
      <c r="A82" s="336">
        <v>46141</v>
      </c>
      <c r="B82" s="61" t="s">
        <v>1099</v>
      </c>
      <c r="C82" s="61" t="s">
        <v>1198</v>
      </c>
      <c r="D82" s="61" t="s">
        <v>1199</v>
      </c>
      <c r="E82" s="61" t="s">
        <v>1199</v>
      </c>
      <c r="F82" s="61" t="s">
        <v>1200</v>
      </c>
      <c r="G82" s="61" t="s">
        <v>1201</v>
      </c>
      <c r="H82" s="61" t="s">
        <v>1202</v>
      </c>
      <c r="I82" s="61"/>
      <c r="J82" s="331"/>
      <c r="K82" s="331"/>
      <c r="L82" s="331"/>
    </row>
    <row r="83" spans="1:12" ht="45" customHeight="1" x14ac:dyDescent="0.2">
      <c r="A83" s="336"/>
      <c r="B83" s="9" t="s">
        <v>1203</v>
      </c>
      <c r="C83" s="9">
        <v>8260099143</v>
      </c>
      <c r="D83" s="9">
        <v>8260099151</v>
      </c>
      <c r="E83" s="9">
        <v>8260099130</v>
      </c>
      <c r="F83" s="9">
        <v>8260099149</v>
      </c>
      <c r="G83" s="9">
        <v>8260099137</v>
      </c>
      <c r="H83" s="9">
        <v>8260099138</v>
      </c>
      <c r="I83" s="9"/>
      <c r="J83" s="331"/>
      <c r="K83" s="331"/>
      <c r="L83" s="331"/>
    </row>
    <row r="84" spans="1:12" x14ac:dyDescent="0.2">
      <c r="A84" s="336">
        <v>46142</v>
      </c>
      <c r="B84" s="61" t="s">
        <v>1181</v>
      </c>
      <c r="C84" s="61" t="s">
        <v>1204</v>
      </c>
      <c r="D84" s="61" t="s">
        <v>1205</v>
      </c>
      <c r="E84" s="61" t="s">
        <v>1205</v>
      </c>
      <c r="F84" s="61" t="s">
        <v>1206</v>
      </c>
      <c r="G84" s="61" t="s">
        <v>1207</v>
      </c>
      <c r="H84" s="61" t="s">
        <v>247</v>
      </c>
      <c r="I84" s="61"/>
      <c r="J84" s="278" t="s">
        <v>1208</v>
      </c>
      <c r="K84" s="278"/>
      <c r="L84" s="278"/>
    </row>
    <row r="85" spans="1:12" ht="45" customHeight="1" x14ac:dyDescent="0.2">
      <c r="A85" s="336"/>
      <c r="B85" s="9" t="s">
        <v>1209</v>
      </c>
      <c r="C85" s="9">
        <v>8260099221</v>
      </c>
      <c r="D85" s="9">
        <v>8260099224</v>
      </c>
      <c r="E85" s="9">
        <v>8260099206</v>
      </c>
      <c r="F85" s="9">
        <v>8260099198</v>
      </c>
      <c r="G85" s="9">
        <v>8260099210</v>
      </c>
      <c r="H85" s="9">
        <v>8260099197</v>
      </c>
      <c r="I85" s="9"/>
      <c r="J85" s="278"/>
      <c r="K85" s="278"/>
      <c r="L85" s="278"/>
    </row>
    <row r="86" spans="1:12" x14ac:dyDescent="0.2">
      <c r="A86" s="336">
        <v>46143</v>
      </c>
      <c r="B86" s="61"/>
      <c r="C86" s="61"/>
      <c r="D86" s="61"/>
      <c r="E86" s="61"/>
      <c r="F86" s="61"/>
      <c r="G86" s="61"/>
      <c r="H86" s="61"/>
      <c r="I86" s="61"/>
      <c r="J86" s="278" t="s">
        <v>1074</v>
      </c>
      <c r="K86" s="278"/>
      <c r="L86" s="278"/>
    </row>
    <row r="87" spans="1:12" ht="45" customHeight="1" x14ac:dyDescent="0.2">
      <c r="A87" s="336"/>
      <c r="B87" s="9"/>
      <c r="C87" s="9"/>
      <c r="D87" s="9"/>
      <c r="E87" s="9"/>
      <c r="F87" s="9"/>
      <c r="G87" s="9"/>
      <c r="H87" s="9"/>
      <c r="I87" s="9"/>
      <c r="J87" s="278"/>
      <c r="K87" s="278"/>
      <c r="L87" s="278"/>
    </row>
  </sheetData>
  <mergeCells count="70">
    <mergeCell ref="A84:A85"/>
    <mergeCell ref="J84:L85"/>
    <mergeCell ref="A86:A87"/>
    <mergeCell ref="J86:L87"/>
    <mergeCell ref="A78:A79"/>
    <mergeCell ref="J78:L79"/>
    <mergeCell ref="A80:A81"/>
    <mergeCell ref="J80:L81"/>
    <mergeCell ref="A82:A83"/>
    <mergeCell ref="J82:L83"/>
    <mergeCell ref="A76:A77"/>
    <mergeCell ref="J76:L77"/>
    <mergeCell ref="A64:A65"/>
    <mergeCell ref="A66:A67"/>
    <mergeCell ref="A68:A69"/>
    <mergeCell ref="A70:A71"/>
    <mergeCell ref="A72:A73"/>
    <mergeCell ref="A75:L75"/>
    <mergeCell ref="A57:A58"/>
    <mergeCell ref="L57:L58"/>
    <mergeCell ref="A59:A60"/>
    <mergeCell ref="L59:L60"/>
    <mergeCell ref="A62:A63"/>
    <mergeCell ref="A51:A52"/>
    <mergeCell ref="L51:L52"/>
    <mergeCell ref="A53:A54"/>
    <mergeCell ref="L53:L54"/>
    <mergeCell ref="A55:A56"/>
    <mergeCell ref="L55:L56"/>
    <mergeCell ref="A49:A50"/>
    <mergeCell ref="L49:L50"/>
    <mergeCell ref="A37:A38"/>
    <mergeCell ref="H37:J38"/>
    <mergeCell ref="A39:A40"/>
    <mergeCell ref="H39:J40"/>
    <mergeCell ref="A41:A42"/>
    <mergeCell ref="H41:J42"/>
    <mergeCell ref="A43:A44"/>
    <mergeCell ref="H43:J44"/>
    <mergeCell ref="A45:A46"/>
    <mergeCell ref="H45:J46"/>
    <mergeCell ref="A48:L48"/>
    <mergeCell ref="A35:A36"/>
    <mergeCell ref="H35:J36"/>
    <mergeCell ref="A22:A23"/>
    <mergeCell ref="A24:A25"/>
    <mergeCell ref="A26:A27"/>
    <mergeCell ref="A28:A29"/>
    <mergeCell ref="A30:A31"/>
    <mergeCell ref="A34:J34"/>
    <mergeCell ref="A15:A16"/>
    <mergeCell ref="K15:L16"/>
    <mergeCell ref="A19:A21"/>
    <mergeCell ref="B19:B20"/>
    <mergeCell ref="C19:C20"/>
    <mergeCell ref="D19:D20"/>
    <mergeCell ref="E19:E20"/>
    <mergeCell ref="A9:A10"/>
    <mergeCell ref="K9:L10"/>
    <mergeCell ref="A11:A12"/>
    <mergeCell ref="K11:L12"/>
    <mergeCell ref="A13:A14"/>
    <mergeCell ref="K13:L14"/>
    <mergeCell ref="A7:A8"/>
    <mergeCell ref="K7:L8"/>
    <mergeCell ref="A3:L3"/>
    <mergeCell ref="A4:A6"/>
    <mergeCell ref="B4:G4"/>
    <mergeCell ref="H4:J4"/>
    <mergeCell ref="K4:L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44BF-DC0F-4BCD-9590-C5AFA090E945}">
  <dimension ref="A1:H52"/>
  <sheetViews>
    <sheetView workbookViewId="0">
      <selection activeCell="H5" sqref="H5"/>
    </sheetView>
  </sheetViews>
  <sheetFormatPr defaultRowHeight="15" x14ac:dyDescent="0.2"/>
  <cols>
    <col min="1" max="1" width="23.13671875" customWidth="1"/>
    <col min="2" max="3" width="15.6015625" customWidth="1"/>
    <col min="4" max="4" width="20.984375" bestFit="1" customWidth="1"/>
    <col min="5" max="5" width="15.6015625" customWidth="1"/>
    <col min="6" max="6" width="21.38671875" style="3" customWidth="1"/>
    <col min="7" max="7" width="15.6015625" customWidth="1"/>
    <col min="8" max="8" width="80.30859375" style="99" bestFit="1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76">
        <v>46146</v>
      </c>
      <c r="B4" s="8" t="s">
        <v>9</v>
      </c>
      <c r="C4" s="8" t="s">
        <v>556</v>
      </c>
      <c r="D4" s="8" t="s">
        <v>1210</v>
      </c>
      <c r="E4" s="8" t="s">
        <v>11</v>
      </c>
      <c r="F4" s="49">
        <v>0.44722222222222224</v>
      </c>
      <c r="G4" s="47" t="s">
        <v>13</v>
      </c>
      <c r="H4" s="98" t="s">
        <v>1211</v>
      </c>
    </row>
    <row r="5" spans="1:8" x14ac:dyDescent="0.2">
      <c r="A5" s="377"/>
      <c r="B5" s="8" t="s">
        <v>14</v>
      </c>
      <c r="C5" s="8" t="s">
        <v>316</v>
      </c>
      <c r="D5" s="8" t="s">
        <v>1212</v>
      </c>
      <c r="E5" s="8" t="s">
        <v>16</v>
      </c>
      <c r="F5" s="49">
        <v>0.56666666666666665</v>
      </c>
      <c r="G5" s="47" t="s">
        <v>13</v>
      </c>
      <c r="H5" s="98" t="s">
        <v>1213</v>
      </c>
    </row>
    <row r="6" spans="1:8" x14ac:dyDescent="0.2">
      <c r="A6" s="377"/>
      <c r="B6" s="8" t="s">
        <v>20</v>
      </c>
      <c r="C6" s="10"/>
      <c r="D6" s="10"/>
      <c r="E6" s="8" t="s">
        <v>21</v>
      </c>
      <c r="F6" s="7"/>
      <c r="G6" s="10"/>
      <c r="H6" s="98"/>
    </row>
    <row r="7" spans="1:8" x14ac:dyDescent="0.2">
      <c r="A7" s="377"/>
      <c r="B7" s="8" t="s">
        <v>22</v>
      </c>
      <c r="C7" s="8" t="s">
        <v>305</v>
      </c>
      <c r="D7" s="8" t="s">
        <v>1214</v>
      </c>
      <c r="E7" s="8" t="s">
        <v>24</v>
      </c>
      <c r="F7" s="49">
        <v>0.72847222222222219</v>
      </c>
      <c r="G7" s="47" t="s">
        <v>13</v>
      </c>
      <c r="H7" s="98" t="s">
        <v>1215</v>
      </c>
    </row>
    <row r="8" spans="1:8" x14ac:dyDescent="0.2">
      <c r="A8" s="377"/>
      <c r="B8" s="8" t="s">
        <v>26</v>
      </c>
      <c r="C8" s="8" t="s">
        <v>811</v>
      </c>
      <c r="D8" s="8" t="s">
        <v>554</v>
      </c>
      <c r="E8" s="8" t="s">
        <v>28</v>
      </c>
      <c r="F8" s="49">
        <v>0.66805555555555551</v>
      </c>
      <c r="G8" s="48" t="s">
        <v>18</v>
      </c>
      <c r="H8" s="98"/>
    </row>
    <row r="9" spans="1:8" x14ac:dyDescent="0.2">
      <c r="A9" s="377"/>
      <c r="B9" s="8" t="s">
        <v>26</v>
      </c>
      <c r="C9" s="8" t="s">
        <v>336</v>
      </c>
      <c r="D9" s="8" t="s">
        <v>561</v>
      </c>
      <c r="E9" s="8" t="s">
        <v>28</v>
      </c>
      <c r="F9" s="49">
        <v>0.64861111111111114</v>
      </c>
      <c r="G9" s="48" t="s">
        <v>18</v>
      </c>
      <c r="H9" s="98"/>
    </row>
    <row r="10" spans="1:8" x14ac:dyDescent="0.2">
      <c r="A10" s="377"/>
      <c r="B10" s="8" t="s">
        <v>26</v>
      </c>
      <c r="C10" s="8" t="s">
        <v>328</v>
      </c>
      <c r="D10" s="8" t="s">
        <v>329</v>
      </c>
      <c r="E10" s="8" t="s">
        <v>28</v>
      </c>
      <c r="F10" s="49">
        <v>0.72291666666666665</v>
      </c>
      <c r="G10" s="47" t="s">
        <v>13</v>
      </c>
      <c r="H10" s="98" t="s">
        <v>1216</v>
      </c>
    </row>
    <row r="11" spans="1:8" x14ac:dyDescent="0.2">
      <c r="A11" s="378"/>
      <c r="B11" s="8" t="s">
        <v>26</v>
      </c>
      <c r="C11" s="8"/>
      <c r="D11" s="8"/>
      <c r="E11" s="8" t="s">
        <v>28</v>
      </c>
      <c r="F11" s="49"/>
      <c r="G11" s="78"/>
      <c r="H11" s="98"/>
    </row>
    <row r="12" spans="1:8" x14ac:dyDescent="0.2">
      <c r="A12" s="120"/>
    </row>
    <row r="13" spans="1:8" x14ac:dyDescent="0.2">
      <c r="A13" s="276">
        <v>46147</v>
      </c>
      <c r="B13" s="8" t="s">
        <v>315</v>
      </c>
      <c r="C13" s="8" t="s">
        <v>305</v>
      </c>
      <c r="D13" s="8" t="s">
        <v>1217</v>
      </c>
      <c r="E13" s="8" t="s">
        <v>11</v>
      </c>
      <c r="F13" s="49">
        <v>0.37083333333333335</v>
      </c>
      <c r="G13" s="48" t="s">
        <v>18</v>
      </c>
      <c r="H13" s="98"/>
    </row>
    <row r="14" spans="1:8" x14ac:dyDescent="0.2">
      <c r="A14" s="276"/>
      <c r="B14" s="8" t="s">
        <v>315</v>
      </c>
      <c r="C14" s="8" t="s">
        <v>1218</v>
      </c>
      <c r="D14" s="8" t="s">
        <v>1219</v>
      </c>
      <c r="E14" s="8" t="s">
        <v>11</v>
      </c>
      <c r="F14" s="49">
        <v>0.39583333333333331</v>
      </c>
      <c r="G14" s="48" t="s">
        <v>18</v>
      </c>
      <c r="H14" s="98"/>
    </row>
    <row r="15" spans="1:8" x14ac:dyDescent="0.2">
      <c r="A15" s="276"/>
      <c r="B15" s="8" t="s">
        <v>14</v>
      </c>
      <c r="C15" s="8" t="s">
        <v>320</v>
      </c>
      <c r="D15" s="8" t="s">
        <v>1023</v>
      </c>
      <c r="E15" s="8" t="s">
        <v>16</v>
      </c>
      <c r="F15" s="49">
        <v>0.53541666666666665</v>
      </c>
      <c r="G15" s="48" t="s">
        <v>18</v>
      </c>
      <c r="H15" s="98"/>
    </row>
    <row r="16" spans="1:8" x14ac:dyDescent="0.2">
      <c r="A16" s="276"/>
      <c r="B16" s="8" t="s">
        <v>20</v>
      </c>
      <c r="C16" s="10"/>
      <c r="D16" s="10"/>
      <c r="E16" s="8" t="s">
        <v>21</v>
      </c>
      <c r="F16" s="7"/>
      <c r="G16" s="10"/>
      <c r="H16" s="98"/>
    </row>
    <row r="17" spans="1:8" x14ac:dyDescent="0.2">
      <c r="A17" s="276"/>
      <c r="B17" s="8" t="s">
        <v>22</v>
      </c>
      <c r="C17" s="8" t="s">
        <v>326</v>
      </c>
      <c r="D17" s="8" t="s">
        <v>322</v>
      </c>
      <c r="E17" s="8" t="s">
        <v>24</v>
      </c>
      <c r="F17" s="49">
        <v>0.66874999999999996</v>
      </c>
      <c r="G17" s="48" t="s">
        <v>18</v>
      </c>
      <c r="H17" s="98"/>
    </row>
    <row r="18" spans="1:8" x14ac:dyDescent="0.2">
      <c r="A18" s="276"/>
      <c r="B18" s="8" t="s">
        <v>26</v>
      </c>
      <c r="C18" s="8" t="s">
        <v>309</v>
      </c>
      <c r="D18" s="8" t="s">
        <v>310</v>
      </c>
      <c r="E18" s="8" t="s">
        <v>28</v>
      </c>
      <c r="F18" s="49">
        <v>0.67361111111111116</v>
      </c>
      <c r="G18" s="47" t="s">
        <v>13</v>
      </c>
      <c r="H18" s="98" t="s">
        <v>1220</v>
      </c>
    </row>
    <row r="19" spans="1:8" x14ac:dyDescent="0.2">
      <c r="A19" s="276"/>
      <c r="B19" s="8" t="s">
        <v>26</v>
      </c>
      <c r="C19" s="8" t="s">
        <v>328</v>
      </c>
      <c r="D19" s="8" t="s">
        <v>329</v>
      </c>
      <c r="E19" s="8" t="s">
        <v>28</v>
      </c>
      <c r="F19" s="49">
        <v>0.69166666666666665</v>
      </c>
      <c r="G19" s="47" t="s">
        <v>13</v>
      </c>
      <c r="H19" s="98" t="s">
        <v>1221</v>
      </c>
    </row>
    <row r="20" spans="1:8" x14ac:dyDescent="0.2">
      <c r="A20" s="276"/>
      <c r="B20" s="8" t="s">
        <v>26</v>
      </c>
      <c r="C20" s="8"/>
      <c r="D20" s="8"/>
      <c r="E20" s="8" t="s">
        <v>28</v>
      </c>
      <c r="F20" s="49"/>
      <c r="G20" s="79"/>
      <c r="H20" s="98"/>
    </row>
    <row r="21" spans="1:8" x14ac:dyDescent="0.2">
      <c r="A21" s="120"/>
    </row>
    <row r="22" spans="1:8" x14ac:dyDescent="0.2">
      <c r="A22" s="376">
        <v>46148</v>
      </c>
      <c r="B22" s="8" t="s">
        <v>9</v>
      </c>
      <c r="C22" s="8" t="s">
        <v>326</v>
      </c>
      <c r="D22" s="8" t="s">
        <v>1222</v>
      </c>
      <c r="E22" s="8" t="s">
        <v>11</v>
      </c>
      <c r="F22" s="49">
        <v>0.39305555555555555</v>
      </c>
      <c r="G22" s="48" t="s">
        <v>18</v>
      </c>
      <c r="H22" s="98"/>
    </row>
    <row r="23" spans="1:8" x14ac:dyDescent="0.2">
      <c r="A23" s="377"/>
      <c r="B23" s="8" t="s">
        <v>14</v>
      </c>
      <c r="C23" s="8" t="s">
        <v>320</v>
      </c>
      <c r="D23" s="8" t="s">
        <v>321</v>
      </c>
      <c r="E23" s="8" t="s">
        <v>16</v>
      </c>
      <c r="F23" s="49">
        <v>0.54166666666666663</v>
      </c>
      <c r="G23" s="48" t="s">
        <v>18</v>
      </c>
      <c r="H23" s="98"/>
    </row>
    <row r="24" spans="1:8" x14ac:dyDescent="0.2">
      <c r="A24" s="377"/>
      <c r="B24" s="8" t="s">
        <v>20</v>
      </c>
      <c r="C24" s="8"/>
      <c r="D24" s="8"/>
      <c r="E24" s="8" t="s">
        <v>21</v>
      </c>
      <c r="F24" s="49"/>
      <c r="G24" s="79"/>
      <c r="H24" s="98"/>
    </row>
    <row r="25" spans="1:8" x14ac:dyDescent="0.2">
      <c r="A25" s="377"/>
      <c r="B25" s="8" t="s">
        <v>22</v>
      </c>
      <c r="C25" s="8" t="s">
        <v>305</v>
      </c>
      <c r="D25" s="8" t="s">
        <v>306</v>
      </c>
      <c r="E25" s="8" t="s">
        <v>24</v>
      </c>
      <c r="F25" s="49">
        <v>0.70833333333333337</v>
      </c>
      <c r="G25" s="48" t="s">
        <v>18</v>
      </c>
      <c r="H25" s="98"/>
    </row>
    <row r="26" spans="1:8" x14ac:dyDescent="0.2">
      <c r="A26" s="377"/>
      <c r="B26" s="8" t="s">
        <v>26</v>
      </c>
      <c r="C26" s="8" t="s">
        <v>307</v>
      </c>
      <c r="D26" s="8" t="s">
        <v>308</v>
      </c>
      <c r="E26" s="8" t="s">
        <v>28</v>
      </c>
      <c r="F26" s="49">
        <v>0.63194444444444442</v>
      </c>
      <c r="G26" s="48" t="s">
        <v>18</v>
      </c>
      <c r="H26" s="98"/>
    </row>
    <row r="27" spans="1:8" x14ac:dyDescent="0.2">
      <c r="A27" s="377"/>
      <c r="B27" s="8" t="s">
        <v>26</v>
      </c>
      <c r="C27" s="8"/>
      <c r="D27" s="8"/>
      <c r="E27" s="8" t="s">
        <v>28</v>
      </c>
      <c r="F27" s="49"/>
      <c r="G27" s="79"/>
      <c r="H27" s="98"/>
    </row>
    <row r="28" spans="1:8" x14ac:dyDescent="0.2">
      <c r="A28" s="377"/>
      <c r="B28" s="8" t="s">
        <v>26</v>
      </c>
      <c r="C28" s="8"/>
      <c r="D28" s="8"/>
      <c r="E28" s="8" t="s">
        <v>28</v>
      </c>
      <c r="F28" s="49"/>
      <c r="G28" s="79"/>
      <c r="H28" s="98"/>
    </row>
    <row r="29" spans="1:8" x14ac:dyDescent="0.2">
      <c r="A29" s="120"/>
    </row>
    <row r="30" spans="1:8" x14ac:dyDescent="0.2">
      <c r="A30" s="376">
        <v>46149</v>
      </c>
      <c r="B30" s="8" t="s">
        <v>9</v>
      </c>
      <c r="C30" s="8" t="s">
        <v>305</v>
      </c>
      <c r="D30" s="8" t="s">
        <v>306</v>
      </c>
      <c r="E30" s="8" t="s">
        <v>11</v>
      </c>
      <c r="F30" s="49">
        <v>0.33333333333333331</v>
      </c>
      <c r="G30" s="48" t="s">
        <v>18</v>
      </c>
      <c r="H30" s="98"/>
    </row>
    <row r="31" spans="1:8" x14ac:dyDescent="0.2">
      <c r="A31" s="377"/>
      <c r="B31" s="8" t="s">
        <v>9</v>
      </c>
      <c r="C31" s="8" t="s">
        <v>326</v>
      </c>
      <c r="D31" s="8" t="s">
        <v>1223</v>
      </c>
      <c r="E31" s="8" t="s">
        <v>11</v>
      </c>
      <c r="F31" s="49">
        <v>0.40694444444444444</v>
      </c>
      <c r="G31" s="48" t="s">
        <v>18</v>
      </c>
      <c r="H31" s="98"/>
    </row>
    <row r="32" spans="1:8" x14ac:dyDescent="0.2">
      <c r="A32" s="377"/>
      <c r="B32" s="8" t="s">
        <v>14</v>
      </c>
      <c r="C32" s="8" t="s">
        <v>320</v>
      </c>
      <c r="D32" s="8" t="s">
        <v>321</v>
      </c>
      <c r="E32" s="8" t="s">
        <v>16</v>
      </c>
      <c r="F32" s="49">
        <v>0.53888888888888886</v>
      </c>
      <c r="G32" s="48" t="s">
        <v>18</v>
      </c>
      <c r="H32" s="118"/>
    </row>
    <row r="33" spans="1:8" x14ac:dyDescent="0.2">
      <c r="A33" s="377"/>
      <c r="B33" s="8" t="s">
        <v>20</v>
      </c>
      <c r="C33" s="8" t="s">
        <v>801</v>
      </c>
      <c r="D33" s="8" t="s">
        <v>1224</v>
      </c>
      <c r="E33" s="8" t="s">
        <v>21</v>
      </c>
      <c r="F33" s="49">
        <v>0.74375000000000002</v>
      </c>
      <c r="G33" s="47" t="s">
        <v>13</v>
      </c>
      <c r="H33" s="98" t="s">
        <v>1225</v>
      </c>
    </row>
    <row r="34" spans="1:8" x14ac:dyDescent="0.2">
      <c r="A34" s="377"/>
      <c r="B34" s="8" t="s">
        <v>22</v>
      </c>
      <c r="C34" s="8" t="s">
        <v>305</v>
      </c>
      <c r="D34" s="8" t="s">
        <v>306</v>
      </c>
      <c r="E34" s="8" t="s">
        <v>24</v>
      </c>
      <c r="F34" s="49">
        <v>0.77847222222222223</v>
      </c>
      <c r="G34" s="47" t="s">
        <v>13</v>
      </c>
      <c r="H34" s="98" t="s">
        <v>1226</v>
      </c>
    </row>
    <row r="35" spans="1:8" x14ac:dyDescent="0.2">
      <c r="A35" s="377"/>
      <c r="B35" s="8" t="s">
        <v>26</v>
      </c>
      <c r="C35" s="8" t="s">
        <v>311</v>
      </c>
      <c r="D35" s="8" t="s">
        <v>312</v>
      </c>
      <c r="E35" s="8" t="s">
        <v>28</v>
      </c>
      <c r="F35" s="49">
        <v>0.54513888888888884</v>
      </c>
      <c r="G35" s="48" t="s">
        <v>18</v>
      </c>
      <c r="H35" s="98"/>
    </row>
    <row r="36" spans="1:8" x14ac:dyDescent="0.2">
      <c r="A36" s="377"/>
      <c r="B36" s="8" t="s">
        <v>26</v>
      </c>
      <c r="C36" s="8"/>
      <c r="D36" s="8"/>
      <c r="E36" s="8" t="s">
        <v>28</v>
      </c>
      <c r="F36" s="49"/>
      <c r="G36" s="79"/>
      <c r="H36" s="98"/>
    </row>
    <row r="37" spans="1:8" x14ac:dyDescent="0.2">
      <c r="A37" s="377"/>
      <c r="B37" s="8" t="s">
        <v>26</v>
      </c>
      <c r="C37" s="8"/>
      <c r="D37" s="8"/>
      <c r="E37" s="8" t="s">
        <v>28</v>
      </c>
      <c r="F37" s="7"/>
      <c r="G37" s="8"/>
      <c r="H37" s="98"/>
    </row>
    <row r="38" spans="1:8" x14ac:dyDescent="0.2">
      <c r="A38" s="378"/>
      <c r="B38" s="8" t="s">
        <v>26</v>
      </c>
      <c r="C38" s="8"/>
      <c r="D38" s="8"/>
      <c r="E38" s="8" t="s">
        <v>28</v>
      </c>
      <c r="F38" s="7"/>
      <c r="G38" s="8"/>
      <c r="H38" s="98"/>
    </row>
    <row r="39" spans="1:8" x14ac:dyDescent="0.2">
      <c r="A39" s="120"/>
    </row>
    <row r="40" spans="1:8" x14ac:dyDescent="0.2">
      <c r="A40" s="376">
        <v>46150</v>
      </c>
      <c r="B40" s="8" t="s">
        <v>9</v>
      </c>
      <c r="C40" s="8" t="s">
        <v>305</v>
      </c>
      <c r="D40" s="8" t="s">
        <v>306</v>
      </c>
      <c r="E40" s="8" t="s">
        <v>11</v>
      </c>
      <c r="F40" s="49">
        <v>0.40625</v>
      </c>
      <c r="G40" s="48" t="s">
        <v>18</v>
      </c>
      <c r="H40" s="98"/>
    </row>
    <row r="41" spans="1:8" x14ac:dyDescent="0.2">
      <c r="A41" s="377"/>
      <c r="B41" s="8" t="s">
        <v>14</v>
      </c>
      <c r="C41" s="8" t="s">
        <v>320</v>
      </c>
      <c r="D41" s="8" t="s">
        <v>321</v>
      </c>
      <c r="E41" s="8" t="s">
        <v>16</v>
      </c>
      <c r="F41" s="49">
        <v>0.57499999999999996</v>
      </c>
      <c r="G41" s="47" t="s">
        <v>13</v>
      </c>
      <c r="H41" s="98"/>
    </row>
    <row r="42" spans="1:8" x14ac:dyDescent="0.2">
      <c r="A42" s="377"/>
      <c r="B42" s="8" t="s">
        <v>20</v>
      </c>
      <c r="C42" s="8"/>
      <c r="D42" s="8"/>
      <c r="E42" s="8" t="s">
        <v>21</v>
      </c>
      <c r="F42" s="49"/>
      <c r="G42" s="79"/>
      <c r="H42" s="98"/>
    </row>
    <row r="43" spans="1:8" x14ac:dyDescent="0.2">
      <c r="A43" s="377"/>
      <c r="B43" s="8" t="s">
        <v>22</v>
      </c>
      <c r="C43" s="8" t="s">
        <v>326</v>
      </c>
      <c r="D43" s="8" t="s">
        <v>1222</v>
      </c>
      <c r="E43" s="8" t="s">
        <v>24</v>
      </c>
      <c r="F43" s="49">
        <v>0.70486111111111116</v>
      </c>
      <c r="G43" s="48" t="s">
        <v>18</v>
      </c>
      <c r="H43" s="98"/>
    </row>
    <row r="44" spans="1:8" x14ac:dyDescent="0.2">
      <c r="A44" s="377"/>
      <c r="B44" s="8" t="s">
        <v>26</v>
      </c>
      <c r="C44" s="8" t="s">
        <v>327</v>
      </c>
      <c r="D44" s="8" t="s">
        <v>1227</v>
      </c>
      <c r="E44" s="8" t="s">
        <v>28</v>
      </c>
      <c r="F44" s="49">
        <v>0.58680555555555558</v>
      </c>
      <c r="G44" s="48" t="s">
        <v>18</v>
      </c>
      <c r="H44" s="98"/>
    </row>
    <row r="45" spans="1:8" x14ac:dyDescent="0.2">
      <c r="A45" s="377"/>
      <c r="B45" s="8" t="s">
        <v>26</v>
      </c>
      <c r="C45" s="8"/>
      <c r="D45" s="8"/>
      <c r="E45" s="8" t="s">
        <v>28</v>
      </c>
      <c r="F45" s="49"/>
      <c r="G45" s="79"/>
      <c r="H45" s="98"/>
    </row>
    <row r="46" spans="1:8" x14ac:dyDescent="0.2">
      <c r="A46" s="377"/>
      <c r="B46" s="8" t="s">
        <v>26</v>
      </c>
      <c r="C46" s="8"/>
      <c r="D46" s="8"/>
      <c r="E46" s="8" t="s">
        <v>28</v>
      </c>
      <c r="F46" s="7"/>
      <c r="G46" s="10"/>
      <c r="H46" s="98"/>
    </row>
    <row r="47" spans="1:8" x14ac:dyDescent="0.2">
      <c r="A47" s="378"/>
      <c r="B47" s="8" t="s">
        <v>26</v>
      </c>
      <c r="C47" s="8"/>
      <c r="D47" s="8"/>
      <c r="E47" s="8" t="s">
        <v>28</v>
      </c>
      <c r="F47" s="7"/>
      <c r="G47" s="10"/>
      <c r="H47" s="98"/>
    </row>
    <row r="49" spans="1:3" x14ac:dyDescent="0.2">
      <c r="A49" s="10" t="s">
        <v>1228</v>
      </c>
      <c r="B49" s="374">
        <v>26</v>
      </c>
      <c r="C49" s="375"/>
    </row>
    <row r="50" spans="1:3" x14ac:dyDescent="0.2">
      <c r="A50" s="10" t="s">
        <v>1229</v>
      </c>
      <c r="B50" s="8">
        <v>17</v>
      </c>
      <c r="C50" s="142">
        <f>B50/B49</f>
        <v>0.65384615384615385</v>
      </c>
    </row>
    <row r="51" spans="1:3" x14ac:dyDescent="0.2">
      <c r="A51" s="10" t="s">
        <v>1230</v>
      </c>
      <c r="B51" s="8">
        <f>B49-B50</f>
        <v>9</v>
      </c>
      <c r="C51" s="142">
        <f>B51/B49</f>
        <v>0.34615384615384615</v>
      </c>
    </row>
    <row r="52" spans="1:3" x14ac:dyDescent="0.2">
      <c r="B52" s="141"/>
    </row>
  </sheetData>
  <mergeCells count="6">
    <mergeCell ref="B49:C49"/>
    <mergeCell ref="A4:A11"/>
    <mergeCell ref="A13:A20"/>
    <mergeCell ref="A22:A28"/>
    <mergeCell ref="A30:A38"/>
    <mergeCell ref="A40:A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0E14-3571-4282-80D4-02F97F42D4DA}">
  <dimension ref="A1:O103"/>
  <sheetViews>
    <sheetView topLeftCell="E59" workbookViewId="0">
      <selection activeCell="G14" sqref="G14"/>
    </sheetView>
  </sheetViews>
  <sheetFormatPr defaultRowHeight="15" x14ac:dyDescent="0.2"/>
  <cols>
    <col min="1" max="1" width="21.9257812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79">
        <v>46146</v>
      </c>
      <c r="B7" s="53" t="s">
        <v>1231</v>
      </c>
      <c r="C7" s="53" t="s">
        <v>1232</v>
      </c>
      <c r="D7" s="53" t="s">
        <v>1232</v>
      </c>
      <c r="E7" s="53"/>
      <c r="F7" s="53"/>
      <c r="G7" s="53"/>
      <c r="H7" s="74" t="s">
        <v>1233</v>
      </c>
      <c r="I7" s="74" t="s">
        <v>1234</v>
      </c>
      <c r="J7" s="74" t="s">
        <v>1234</v>
      </c>
      <c r="K7" s="371"/>
      <c r="L7" s="371"/>
    </row>
    <row r="8" spans="1:12" ht="65.25" customHeight="1" x14ac:dyDescent="0.2">
      <c r="A8" s="379"/>
      <c r="B8" s="9" t="s">
        <v>1235</v>
      </c>
      <c r="C8" s="9">
        <v>8260099230</v>
      </c>
      <c r="D8" s="9" t="s">
        <v>1236</v>
      </c>
      <c r="E8" s="9"/>
      <c r="F8" s="9"/>
      <c r="G8" s="9"/>
      <c r="H8" s="9">
        <v>8260099295</v>
      </c>
      <c r="I8" s="9">
        <v>8260099296</v>
      </c>
      <c r="J8" s="9">
        <v>8260099294</v>
      </c>
      <c r="K8" s="371"/>
      <c r="L8" s="371"/>
    </row>
    <row r="9" spans="1:12" x14ac:dyDescent="0.2">
      <c r="A9" s="276">
        <v>46147</v>
      </c>
      <c r="B9" s="53" t="s">
        <v>1237</v>
      </c>
      <c r="C9" s="53" t="s">
        <v>1238</v>
      </c>
      <c r="D9" s="53" t="s">
        <v>1238</v>
      </c>
      <c r="E9" s="53" t="s">
        <v>1239</v>
      </c>
      <c r="F9" s="53" t="s">
        <v>1240</v>
      </c>
      <c r="G9" s="53"/>
      <c r="H9" s="56" t="s">
        <v>1241</v>
      </c>
      <c r="I9" s="56" t="s">
        <v>1242</v>
      </c>
      <c r="J9" s="56" t="s">
        <v>1242</v>
      </c>
      <c r="K9" s="372"/>
      <c r="L9" s="372"/>
    </row>
    <row r="10" spans="1:12" ht="45" customHeight="1" x14ac:dyDescent="0.2">
      <c r="A10" s="276"/>
      <c r="B10" s="9" t="s">
        <v>1243</v>
      </c>
      <c r="C10" s="9">
        <v>8260099310</v>
      </c>
      <c r="D10" s="9">
        <v>8260099308</v>
      </c>
      <c r="E10" s="9" t="s">
        <v>1244</v>
      </c>
      <c r="F10" s="9" t="s">
        <v>1245</v>
      </c>
      <c r="G10" s="9"/>
      <c r="H10" s="9">
        <v>8260099363</v>
      </c>
      <c r="I10" s="9">
        <v>8260099362</v>
      </c>
      <c r="J10" s="9">
        <v>8260099361</v>
      </c>
      <c r="K10" s="372"/>
      <c r="L10" s="372"/>
    </row>
    <row r="11" spans="1:12" ht="15" customHeight="1" x14ac:dyDescent="0.2">
      <c r="A11" s="276">
        <v>46148</v>
      </c>
      <c r="B11" s="53" t="s">
        <v>1246</v>
      </c>
      <c r="C11" s="51" t="s">
        <v>1247</v>
      </c>
      <c r="D11" s="51" t="s">
        <v>1247</v>
      </c>
      <c r="E11" s="53"/>
      <c r="F11" s="53"/>
      <c r="G11" s="53"/>
      <c r="H11" s="74" t="s">
        <v>1248</v>
      </c>
      <c r="I11" s="74" t="s">
        <v>1249</v>
      </c>
      <c r="J11" s="74" t="s">
        <v>1249</v>
      </c>
      <c r="K11" s="278" t="s">
        <v>1250</v>
      </c>
      <c r="L11" s="278"/>
    </row>
    <row r="12" spans="1:12" ht="68.25" x14ac:dyDescent="0.2">
      <c r="A12" s="276"/>
      <c r="B12" s="9" t="s">
        <v>1251</v>
      </c>
      <c r="C12" s="9" t="s">
        <v>1252</v>
      </c>
      <c r="D12" s="9" t="s">
        <v>1253</v>
      </c>
      <c r="E12" s="9"/>
      <c r="F12" s="9"/>
      <c r="G12" s="9"/>
      <c r="H12" s="9">
        <v>8260099435</v>
      </c>
      <c r="I12" s="9" t="s">
        <v>1254</v>
      </c>
      <c r="J12" s="9" t="s">
        <v>1255</v>
      </c>
      <c r="K12" s="278"/>
      <c r="L12" s="278"/>
    </row>
    <row r="13" spans="1:12" x14ac:dyDescent="0.2">
      <c r="A13" s="276">
        <v>46149</v>
      </c>
      <c r="B13" s="51" t="s">
        <v>1256</v>
      </c>
      <c r="C13" s="51" t="s">
        <v>1257</v>
      </c>
      <c r="D13" s="51" t="s">
        <v>1257</v>
      </c>
      <c r="E13" s="53" t="s">
        <v>1258</v>
      </c>
      <c r="F13" s="53" t="s">
        <v>1259</v>
      </c>
      <c r="G13" s="53"/>
      <c r="H13" s="115" t="s">
        <v>1260</v>
      </c>
      <c r="I13" s="56" t="s">
        <v>1261</v>
      </c>
      <c r="J13" s="56" t="s">
        <v>1261</v>
      </c>
      <c r="K13" s="278" t="s">
        <v>1262</v>
      </c>
      <c r="L13" s="278"/>
    </row>
    <row r="14" spans="1:12" ht="54.75" x14ac:dyDescent="0.2">
      <c r="A14" s="276"/>
      <c r="B14" s="9" t="s">
        <v>1263</v>
      </c>
      <c r="C14" s="9" t="s">
        <v>1264</v>
      </c>
      <c r="D14" s="9" t="s">
        <v>1265</v>
      </c>
      <c r="E14" s="9" t="s">
        <v>1266</v>
      </c>
      <c r="F14" s="7">
        <v>8260099462</v>
      </c>
      <c r="G14" s="7"/>
      <c r="H14" s="7">
        <v>8260099516</v>
      </c>
      <c r="I14" s="9">
        <v>8260099517</v>
      </c>
      <c r="J14" s="7">
        <v>8260099515</v>
      </c>
      <c r="K14" s="278"/>
      <c r="L14" s="278"/>
    </row>
    <row r="15" spans="1:12" ht="15" customHeight="1" x14ac:dyDescent="0.2">
      <c r="A15" s="276">
        <v>46150</v>
      </c>
      <c r="B15" s="47" t="s">
        <v>1267</v>
      </c>
      <c r="C15" s="47" t="s">
        <v>1268</v>
      </c>
      <c r="D15" s="47" t="s">
        <v>1268</v>
      </c>
      <c r="E15" s="66"/>
      <c r="F15" s="66"/>
      <c r="G15" s="66"/>
      <c r="H15" s="136" t="s">
        <v>1269</v>
      </c>
      <c r="I15" s="136" t="s">
        <v>1270</v>
      </c>
      <c r="J15" s="136" t="s">
        <v>1270</v>
      </c>
      <c r="K15" s="278" t="s">
        <v>1250</v>
      </c>
      <c r="L15" s="278"/>
    </row>
    <row r="16" spans="1:12" ht="68.25" x14ac:dyDescent="0.2">
      <c r="A16" s="276"/>
      <c r="B16" s="9" t="s">
        <v>1271</v>
      </c>
      <c r="C16" s="9" t="s">
        <v>1272</v>
      </c>
      <c r="D16" s="9" t="s">
        <v>1273</v>
      </c>
      <c r="E16" s="9"/>
      <c r="F16" s="9"/>
      <c r="G16" s="9"/>
      <c r="H16" s="7">
        <v>8260099589</v>
      </c>
      <c r="I16" s="9">
        <v>8260099591</v>
      </c>
      <c r="J16" s="7">
        <v>8260099590</v>
      </c>
      <c r="K16" s="278"/>
      <c r="L16" s="278"/>
    </row>
    <row r="17" spans="1:12" x14ac:dyDescent="0.2">
      <c r="A17" s="112" t="s">
        <v>1274</v>
      </c>
      <c r="B17" s="143">
        <v>5</v>
      </c>
      <c r="C17" s="143">
        <v>5</v>
      </c>
      <c r="D17" s="143">
        <v>5</v>
      </c>
      <c r="E17" s="143">
        <v>2</v>
      </c>
      <c r="F17" s="143">
        <v>2</v>
      </c>
      <c r="G17" s="143"/>
      <c r="H17" s="3">
        <v>5</v>
      </c>
      <c r="I17" s="143">
        <v>5</v>
      </c>
      <c r="J17" s="3">
        <v>5</v>
      </c>
      <c r="K17" s="149">
        <f>SUM(B17:J17)</f>
        <v>34</v>
      </c>
      <c r="L17" s="144"/>
    </row>
    <row r="18" spans="1:12" x14ac:dyDescent="0.2">
      <c r="A18" s="112" t="s">
        <v>1275</v>
      </c>
      <c r="B18" s="143">
        <v>3</v>
      </c>
      <c r="C18" s="143">
        <v>2</v>
      </c>
      <c r="D18" s="143">
        <v>2</v>
      </c>
      <c r="E18" s="143">
        <v>2</v>
      </c>
      <c r="F18" s="143">
        <v>2</v>
      </c>
      <c r="G18" s="143"/>
      <c r="H18" s="3">
        <v>4</v>
      </c>
      <c r="I18" s="143">
        <v>5</v>
      </c>
      <c r="J18" s="3">
        <v>5</v>
      </c>
      <c r="K18" s="149">
        <f t="shared" ref="K18:K19" si="0">SUM(B18:J18)</f>
        <v>25</v>
      </c>
      <c r="L18" s="144"/>
    </row>
    <row r="19" spans="1:12" x14ac:dyDescent="0.2">
      <c r="A19" s="2" t="s">
        <v>1276</v>
      </c>
      <c r="B19" s="148">
        <v>2</v>
      </c>
      <c r="C19" s="148">
        <v>3</v>
      </c>
      <c r="D19" s="148">
        <v>3</v>
      </c>
      <c r="E19" s="148">
        <v>0</v>
      </c>
      <c r="F19" s="148">
        <v>0</v>
      </c>
      <c r="G19" s="148"/>
      <c r="H19" s="147">
        <v>1</v>
      </c>
      <c r="I19" s="146">
        <v>0</v>
      </c>
      <c r="J19" s="147">
        <v>0</v>
      </c>
      <c r="K19" s="150">
        <f t="shared" si="0"/>
        <v>9</v>
      </c>
    </row>
    <row r="20" spans="1:12" x14ac:dyDescent="0.2">
      <c r="C20" s="2"/>
      <c r="D20" s="2"/>
      <c r="E20" s="2"/>
      <c r="F20" s="2"/>
      <c r="G20" s="2"/>
    </row>
    <row r="21" spans="1:12" ht="15" customHeight="1" x14ac:dyDescent="0.2">
      <c r="A21" s="280" t="s">
        <v>34</v>
      </c>
      <c r="B21" s="286" t="s">
        <v>379</v>
      </c>
      <c r="C21" s="286" t="s">
        <v>83</v>
      </c>
      <c r="D21" s="286" t="s">
        <v>84</v>
      </c>
      <c r="E21" s="287" t="s">
        <v>8</v>
      </c>
      <c r="F21" s="287"/>
      <c r="G21" s="288"/>
    </row>
    <row r="22" spans="1:12" x14ac:dyDescent="0.2">
      <c r="A22" s="280"/>
      <c r="B22" s="286"/>
      <c r="C22" s="286"/>
      <c r="D22" s="286"/>
      <c r="E22" s="289"/>
      <c r="F22" s="289"/>
      <c r="G22" s="290"/>
    </row>
    <row r="23" spans="1:12" x14ac:dyDescent="0.2">
      <c r="A23" s="280"/>
      <c r="B23" s="14" t="s">
        <v>380</v>
      </c>
      <c r="C23" s="15" t="s">
        <v>381</v>
      </c>
      <c r="D23" s="15" t="s">
        <v>382</v>
      </c>
      <c r="E23" s="130"/>
      <c r="F23" s="130"/>
      <c r="G23" s="131"/>
    </row>
    <row r="24" spans="1:12" s="6" customFormat="1" x14ac:dyDescent="0.2">
      <c r="A24" s="379">
        <v>46146</v>
      </c>
      <c r="B24" s="53" t="s">
        <v>1277</v>
      </c>
      <c r="C24" s="53"/>
      <c r="D24" s="53"/>
      <c r="E24" s="132"/>
      <c r="F24" s="132"/>
      <c r="G24" s="133"/>
    </row>
    <row r="25" spans="1:12" s="6" customFormat="1" ht="135" x14ac:dyDescent="0.2">
      <c r="A25" s="379"/>
      <c r="B25" s="9" t="s">
        <v>1278</v>
      </c>
      <c r="C25" s="9"/>
      <c r="D25" s="7"/>
      <c r="E25" s="122"/>
      <c r="F25" s="122"/>
      <c r="G25" s="125"/>
      <c r="I25" s="110"/>
      <c r="J25" s="110"/>
    </row>
    <row r="26" spans="1:12" s="6" customFormat="1" x14ac:dyDescent="0.2">
      <c r="A26" s="276">
        <v>46147</v>
      </c>
      <c r="B26" s="53" t="s">
        <v>1279</v>
      </c>
      <c r="C26" s="11"/>
      <c r="D26" s="11"/>
      <c r="E26" s="134"/>
      <c r="F26" s="134"/>
      <c r="G26" s="135"/>
    </row>
    <row r="27" spans="1:12" s="6" customFormat="1" ht="45" customHeight="1" x14ac:dyDescent="0.2">
      <c r="A27" s="276"/>
      <c r="B27" s="9" t="s">
        <v>1280</v>
      </c>
      <c r="C27" s="7"/>
      <c r="D27" s="7"/>
      <c r="E27" s="123"/>
      <c r="F27" s="123"/>
      <c r="G27" s="126"/>
    </row>
    <row r="28" spans="1:12" s="6" customFormat="1" x14ac:dyDescent="0.2">
      <c r="A28" s="276">
        <v>46148</v>
      </c>
      <c r="B28" s="53" t="s">
        <v>1281</v>
      </c>
      <c r="C28" s="11"/>
      <c r="D28" s="53"/>
      <c r="E28" s="137"/>
      <c r="F28" s="138"/>
      <c r="G28" s="139"/>
    </row>
    <row r="29" spans="1:12" s="6" customFormat="1" ht="68.25" x14ac:dyDescent="0.2">
      <c r="A29" s="276"/>
      <c r="B29" s="9" t="s">
        <v>1282</v>
      </c>
      <c r="C29" s="7"/>
      <c r="D29" s="7"/>
      <c r="E29" s="140"/>
      <c r="F29" s="128"/>
      <c r="G29" s="129"/>
    </row>
    <row r="30" spans="1:12" s="6" customFormat="1" x14ac:dyDescent="0.2">
      <c r="A30" s="276">
        <v>46149</v>
      </c>
      <c r="B30" s="56" t="s">
        <v>1283</v>
      </c>
      <c r="C30" s="68" t="s">
        <v>1284</v>
      </c>
      <c r="D30" s="11"/>
      <c r="E30" s="380" t="s">
        <v>1285</v>
      </c>
      <c r="F30" s="381"/>
      <c r="G30" s="382"/>
    </row>
    <row r="31" spans="1:12" s="6" customFormat="1" ht="54.75" x14ac:dyDescent="0.2">
      <c r="A31" s="276"/>
      <c r="B31" s="121" t="s">
        <v>1286</v>
      </c>
      <c r="C31" s="9" t="s">
        <v>1287</v>
      </c>
      <c r="D31" s="7"/>
      <c r="E31" s="383"/>
      <c r="F31" s="384"/>
      <c r="G31" s="385"/>
    </row>
    <row r="32" spans="1:12" s="6" customFormat="1" x14ac:dyDescent="0.2">
      <c r="A32" s="276">
        <v>46150</v>
      </c>
      <c r="B32" s="74" t="s">
        <v>1288</v>
      </c>
      <c r="C32" s="56"/>
      <c r="D32" s="53"/>
      <c r="E32" s="124"/>
      <c r="F32" s="124"/>
      <c r="G32" s="127"/>
    </row>
    <row r="33" spans="1:12" s="6" customFormat="1" ht="94.5" x14ac:dyDescent="0.2">
      <c r="A33" s="276"/>
      <c r="B33" s="9" t="s">
        <v>1289</v>
      </c>
      <c r="C33" s="7"/>
      <c r="D33" s="7"/>
      <c r="E33" s="128"/>
      <c r="F33" s="128"/>
      <c r="G33" s="129"/>
    </row>
    <row r="34" spans="1:12" s="6" customFormat="1" x14ac:dyDescent="0.2">
      <c r="A34" s="112" t="s">
        <v>1274</v>
      </c>
      <c r="B34" s="143">
        <v>5</v>
      </c>
      <c r="C34" s="3">
        <v>1</v>
      </c>
      <c r="D34" s="3"/>
      <c r="E34" s="149">
        <f>SUM(B34:D34)</f>
        <v>6</v>
      </c>
      <c r="F34" s="108"/>
      <c r="G34" s="108"/>
    </row>
    <row r="35" spans="1:12" s="6" customFormat="1" x14ac:dyDescent="0.2">
      <c r="A35" s="112" t="s">
        <v>1275</v>
      </c>
      <c r="B35" s="143">
        <v>5</v>
      </c>
      <c r="C35" s="3">
        <v>0</v>
      </c>
      <c r="D35" s="3"/>
      <c r="E35" s="149">
        <f t="shared" ref="E35:E36" si="1">SUM(B35:D35)</f>
        <v>5</v>
      </c>
      <c r="F35" s="108"/>
      <c r="G35" s="108"/>
    </row>
    <row r="36" spans="1:12" s="6" customFormat="1" x14ac:dyDescent="0.2">
      <c r="A36" s="2" t="s">
        <v>1276</v>
      </c>
      <c r="B36" s="146">
        <v>0</v>
      </c>
      <c r="C36" s="147">
        <v>1</v>
      </c>
      <c r="D36" s="3"/>
      <c r="E36" s="150">
        <f t="shared" si="1"/>
        <v>1</v>
      </c>
      <c r="F36" s="108"/>
      <c r="G36" s="108"/>
    </row>
    <row r="37" spans="1:12" x14ac:dyDescent="0.2">
      <c r="C37" s="2"/>
      <c r="D37" s="2"/>
      <c r="E37" s="2"/>
      <c r="F37" s="2"/>
      <c r="G37" s="2"/>
    </row>
    <row r="38" spans="1:12" x14ac:dyDescent="0.2">
      <c r="A38" s="279" t="s">
        <v>96</v>
      </c>
      <c r="B38" s="279"/>
      <c r="C38" s="279"/>
      <c r="D38" s="279"/>
      <c r="E38" s="279"/>
      <c r="F38" s="279"/>
      <c r="G38" s="279"/>
      <c r="H38" s="279"/>
      <c r="I38" s="279"/>
      <c r="J38" s="279"/>
      <c r="K38" s="38"/>
      <c r="L38" s="38"/>
    </row>
    <row r="39" spans="1:12" ht="27.75" x14ac:dyDescent="0.2">
      <c r="A39" s="280" t="s">
        <v>34</v>
      </c>
      <c r="B39" s="4" t="s">
        <v>97</v>
      </c>
      <c r="C39" s="5" t="s">
        <v>98</v>
      </c>
      <c r="D39" s="5" t="s">
        <v>99</v>
      </c>
      <c r="E39" s="5" t="s">
        <v>100</v>
      </c>
      <c r="F39" s="5" t="s">
        <v>101</v>
      </c>
      <c r="G39" s="5" t="s">
        <v>102</v>
      </c>
      <c r="H39" s="291" t="s">
        <v>8</v>
      </c>
      <c r="I39" s="291"/>
      <c r="J39" s="291"/>
    </row>
    <row r="40" spans="1:12" x14ac:dyDescent="0.2">
      <c r="A40" s="280"/>
      <c r="B40" s="14" t="s">
        <v>103</v>
      </c>
      <c r="C40" s="15" t="s">
        <v>104</v>
      </c>
      <c r="D40" s="15" t="s">
        <v>42</v>
      </c>
      <c r="E40" s="15" t="s">
        <v>105</v>
      </c>
      <c r="F40" s="15" t="s">
        <v>106</v>
      </c>
      <c r="G40" s="15" t="s">
        <v>107</v>
      </c>
      <c r="H40" s="291"/>
      <c r="I40" s="291"/>
      <c r="J40" s="291"/>
    </row>
    <row r="41" spans="1:12" x14ac:dyDescent="0.2">
      <c r="A41" s="379">
        <v>46146</v>
      </c>
      <c r="B41" s="61" t="s">
        <v>1290</v>
      </c>
      <c r="C41" s="61" t="s">
        <v>1291</v>
      </c>
      <c r="D41" s="61" t="s">
        <v>1292</v>
      </c>
      <c r="E41" s="61" t="s">
        <v>1293</v>
      </c>
      <c r="F41" s="61" t="s">
        <v>1294</v>
      </c>
      <c r="G41" s="61" t="s">
        <v>1295</v>
      </c>
      <c r="H41" s="278"/>
      <c r="I41" s="278"/>
      <c r="J41" s="278"/>
    </row>
    <row r="42" spans="1:12" ht="45" customHeight="1" x14ac:dyDescent="0.2">
      <c r="A42" s="379"/>
      <c r="B42" s="9">
        <v>8260099282</v>
      </c>
      <c r="C42" s="9" t="s">
        <v>1296</v>
      </c>
      <c r="D42" s="9">
        <v>8260099277</v>
      </c>
      <c r="E42" s="9">
        <v>8260099261</v>
      </c>
      <c r="F42" s="9" t="s">
        <v>1297</v>
      </c>
      <c r="G42" s="9">
        <v>8260099256</v>
      </c>
      <c r="H42" s="278"/>
      <c r="I42" s="278"/>
      <c r="J42" s="278"/>
    </row>
    <row r="43" spans="1:12" x14ac:dyDescent="0.2">
      <c r="A43" s="276">
        <v>46147</v>
      </c>
      <c r="B43" s="61" t="s">
        <v>1298</v>
      </c>
      <c r="C43" s="61" t="s">
        <v>1299</v>
      </c>
      <c r="D43" s="61" t="s">
        <v>1300</v>
      </c>
      <c r="E43" s="61" t="s">
        <v>1301</v>
      </c>
      <c r="F43" s="61" t="s">
        <v>1302</v>
      </c>
      <c r="G43" s="61" t="s">
        <v>1303</v>
      </c>
      <c r="H43" s="319"/>
      <c r="I43" s="319"/>
      <c r="J43" s="319"/>
    </row>
    <row r="44" spans="1:12" ht="45" customHeight="1" x14ac:dyDescent="0.2">
      <c r="A44" s="276"/>
      <c r="B44" s="9">
        <v>8260099337</v>
      </c>
      <c r="C44" s="9" t="s">
        <v>1304</v>
      </c>
      <c r="D44" s="9">
        <v>8260099354</v>
      </c>
      <c r="E44" s="9">
        <v>8260099350</v>
      </c>
      <c r="F44" s="9">
        <v>8260099334</v>
      </c>
      <c r="G44" s="9">
        <v>8260099336</v>
      </c>
      <c r="H44" s="319"/>
      <c r="I44" s="319"/>
      <c r="J44" s="319"/>
    </row>
    <row r="45" spans="1:12" x14ac:dyDescent="0.2">
      <c r="A45" s="276">
        <v>46148</v>
      </c>
      <c r="B45" s="61" t="s">
        <v>1305</v>
      </c>
      <c r="C45" s="61" t="s">
        <v>1306</v>
      </c>
      <c r="D45" s="61" t="s">
        <v>1307</v>
      </c>
      <c r="E45" s="61" t="s">
        <v>1308</v>
      </c>
      <c r="F45" s="61" t="s">
        <v>395</v>
      </c>
      <c r="G45" s="61" t="s">
        <v>1309</v>
      </c>
      <c r="H45" s="278"/>
      <c r="I45" s="278"/>
      <c r="J45" s="278"/>
    </row>
    <row r="46" spans="1:12" ht="45" customHeight="1" x14ac:dyDescent="0.2">
      <c r="A46" s="276"/>
      <c r="B46" s="9">
        <v>8260099406</v>
      </c>
      <c r="C46" s="9" t="s">
        <v>1310</v>
      </c>
      <c r="D46" s="9">
        <v>8260099399</v>
      </c>
      <c r="E46" s="9">
        <v>8260099423</v>
      </c>
      <c r="F46" s="9" t="s">
        <v>1311</v>
      </c>
      <c r="G46" s="9">
        <v>8260099403</v>
      </c>
      <c r="H46" s="278"/>
      <c r="I46" s="278"/>
      <c r="J46" s="278"/>
    </row>
    <row r="47" spans="1:12" ht="15" customHeight="1" x14ac:dyDescent="0.2">
      <c r="A47" s="276">
        <v>46149</v>
      </c>
      <c r="B47" s="61" t="s">
        <v>409</v>
      </c>
      <c r="C47" s="61" t="s">
        <v>1312</v>
      </c>
      <c r="D47" s="61" t="s">
        <v>1313</v>
      </c>
      <c r="E47" s="61" t="s">
        <v>1314</v>
      </c>
      <c r="F47" s="61" t="s">
        <v>1315</v>
      </c>
      <c r="G47" s="61" t="s">
        <v>1316</v>
      </c>
      <c r="H47" s="278"/>
      <c r="I47" s="278"/>
      <c r="J47" s="278"/>
    </row>
    <row r="48" spans="1:12" ht="45" customHeight="1" x14ac:dyDescent="0.2">
      <c r="A48" s="276"/>
      <c r="B48" s="9">
        <v>8260099482</v>
      </c>
      <c r="C48" s="9" t="s">
        <v>1317</v>
      </c>
      <c r="D48" s="9">
        <v>8260099491</v>
      </c>
      <c r="E48" s="9">
        <v>8260099488</v>
      </c>
      <c r="F48" s="9" t="s">
        <v>1318</v>
      </c>
      <c r="G48" s="9">
        <v>8260099493</v>
      </c>
      <c r="H48" s="278"/>
      <c r="I48" s="278"/>
      <c r="J48" s="278"/>
    </row>
    <row r="49" spans="1:15" x14ac:dyDescent="0.2">
      <c r="A49" s="276">
        <v>46150</v>
      </c>
      <c r="B49" s="61" t="s">
        <v>1319</v>
      </c>
      <c r="C49" s="61" t="s">
        <v>413</v>
      </c>
      <c r="D49" s="61" t="s">
        <v>1320</v>
      </c>
      <c r="E49" s="61" t="s">
        <v>1321</v>
      </c>
      <c r="F49" s="61" t="s">
        <v>1322</v>
      </c>
      <c r="G49" s="61" t="s">
        <v>1316</v>
      </c>
      <c r="H49" s="319"/>
      <c r="I49" s="319"/>
      <c r="J49" s="319"/>
    </row>
    <row r="50" spans="1:15" s="6" customFormat="1" ht="45" customHeight="1" x14ac:dyDescent="0.2">
      <c r="A50" s="276"/>
      <c r="B50" s="9">
        <v>8260099546</v>
      </c>
      <c r="C50" s="9" t="s">
        <v>1323</v>
      </c>
      <c r="D50" s="9">
        <v>8260099550</v>
      </c>
      <c r="E50" s="9">
        <v>8260099558</v>
      </c>
      <c r="F50" s="9" t="s">
        <v>1324</v>
      </c>
      <c r="G50" s="9">
        <v>8260099547</v>
      </c>
      <c r="H50" s="319"/>
      <c r="I50" s="319"/>
      <c r="J50" s="319"/>
    </row>
    <row r="51" spans="1:15" s="6" customFormat="1" x14ac:dyDescent="0.2">
      <c r="A51" s="112" t="s">
        <v>1274</v>
      </c>
      <c r="B51" s="143">
        <v>5</v>
      </c>
      <c r="C51" s="143">
        <v>5</v>
      </c>
      <c r="D51" s="143">
        <v>5</v>
      </c>
      <c r="E51" s="143">
        <v>5</v>
      </c>
      <c r="F51" s="143">
        <v>5</v>
      </c>
      <c r="G51" s="143">
        <v>5</v>
      </c>
      <c r="H51" s="113">
        <f>SUM(B51:G51)</f>
        <v>30</v>
      </c>
      <c r="I51" s="145"/>
      <c r="J51" s="145"/>
    </row>
    <row r="52" spans="1:15" s="6" customFormat="1" x14ac:dyDescent="0.2">
      <c r="A52" s="112" t="s">
        <v>1275</v>
      </c>
      <c r="B52" s="143">
        <v>5</v>
      </c>
      <c r="C52" s="143">
        <v>5</v>
      </c>
      <c r="D52" s="143">
        <v>5</v>
      </c>
      <c r="E52" s="143">
        <v>5</v>
      </c>
      <c r="F52" s="143">
        <v>5</v>
      </c>
      <c r="G52" s="143">
        <v>5</v>
      </c>
      <c r="H52" s="113">
        <f t="shared" ref="H52:H53" si="2">SUM(B52:G52)</f>
        <v>30</v>
      </c>
      <c r="I52" s="145"/>
      <c r="J52" s="145"/>
    </row>
    <row r="53" spans="1:15" s="6" customFormat="1" x14ac:dyDescent="0.2">
      <c r="A53" s="2" t="s">
        <v>1276</v>
      </c>
      <c r="B53" s="146">
        <v>0</v>
      </c>
      <c r="C53" s="146">
        <v>0</v>
      </c>
      <c r="D53" s="146">
        <v>0</v>
      </c>
      <c r="E53" s="146">
        <v>0</v>
      </c>
      <c r="F53" s="146">
        <v>0</v>
      </c>
      <c r="G53" s="146">
        <v>0</v>
      </c>
      <c r="H53" s="151">
        <f t="shared" si="2"/>
        <v>0</v>
      </c>
      <c r="I53" s="145"/>
      <c r="J53" s="145"/>
    </row>
    <row r="54" spans="1:1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5" x14ac:dyDescent="0.2">
      <c r="A55" s="279" t="s">
        <v>143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38"/>
      <c r="N55" s="38"/>
      <c r="O55" s="38"/>
    </row>
    <row r="56" spans="1:15" ht="41.25" x14ac:dyDescent="0.2">
      <c r="A56" s="280" t="s">
        <v>34</v>
      </c>
      <c r="B56" s="5" t="s">
        <v>144</v>
      </c>
      <c r="C56" s="5" t="s">
        <v>145</v>
      </c>
      <c r="D56" s="5" t="s">
        <v>146</v>
      </c>
      <c r="E56" s="5" t="s">
        <v>662</v>
      </c>
      <c r="F56" s="5" t="s">
        <v>148</v>
      </c>
      <c r="G56" s="5" t="s">
        <v>149</v>
      </c>
      <c r="H56" s="5" t="s">
        <v>150</v>
      </c>
      <c r="I56" s="5" t="s">
        <v>151</v>
      </c>
      <c r="J56" s="5" t="s">
        <v>152</v>
      </c>
      <c r="K56" s="5" t="s">
        <v>663</v>
      </c>
      <c r="L56" s="282" t="s">
        <v>8</v>
      </c>
    </row>
    <row r="57" spans="1:15" x14ac:dyDescent="0.2">
      <c r="A57" s="280"/>
      <c r="B57" s="15" t="s">
        <v>153</v>
      </c>
      <c r="C57" s="15" t="s">
        <v>153</v>
      </c>
      <c r="D57" s="15" t="s">
        <v>154</v>
      </c>
      <c r="E57" s="15" t="s">
        <v>155</v>
      </c>
      <c r="F57" s="15" t="s">
        <v>156</v>
      </c>
      <c r="G57" s="15" t="s">
        <v>156</v>
      </c>
      <c r="H57" s="15" t="s">
        <v>45</v>
      </c>
      <c r="I57" s="15" t="s">
        <v>157</v>
      </c>
      <c r="J57" s="15" t="s">
        <v>157</v>
      </c>
      <c r="K57" s="15" t="s">
        <v>106</v>
      </c>
      <c r="L57" s="282"/>
    </row>
    <row r="58" spans="1:15" x14ac:dyDescent="0.2">
      <c r="A58" s="379">
        <v>46146</v>
      </c>
      <c r="B58" s="61" t="s">
        <v>1325</v>
      </c>
      <c r="C58" s="61" t="s">
        <v>1326</v>
      </c>
      <c r="D58" s="61" t="s">
        <v>1327</v>
      </c>
      <c r="E58" s="61" t="s">
        <v>1328</v>
      </c>
      <c r="F58" s="61" t="s">
        <v>1329</v>
      </c>
      <c r="G58" s="61" t="s">
        <v>1330</v>
      </c>
      <c r="H58" s="61" t="s">
        <v>1331</v>
      </c>
      <c r="I58" s="61"/>
      <c r="J58" s="53"/>
      <c r="K58" s="66" t="s">
        <v>1332</v>
      </c>
      <c r="L58" s="323"/>
    </row>
    <row r="59" spans="1:15" ht="45" customHeight="1" x14ac:dyDescent="0.2">
      <c r="A59" s="379"/>
      <c r="B59" s="9">
        <v>8260099290</v>
      </c>
      <c r="C59" s="9" t="s">
        <v>1333</v>
      </c>
      <c r="D59" s="9">
        <v>8260099275</v>
      </c>
      <c r="E59" s="9">
        <v>8260099271</v>
      </c>
      <c r="F59" s="9">
        <v>8260099273</v>
      </c>
      <c r="G59" s="9">
        <v>8260099287</v>
      </c>
      <c r="H59" s="9">
        <v>8260099264</v>
      </c>
      <c r="I59" s="9"/>
      <c r="J59" s="7"/>
      <c r="K59" s="9">
        <v>8260099270</v>
      </c>
      <c r="L59" s="325"/>
    </row>
    <row r="60" spans="1:15" x14ac:dyDescent="0.2">
      <c r="A60" s="276">
        <v>46147</v>
      </c>
      <c r="B60" s="61" t="s">
        <v>1334</v>
      </c>
      <c r="C60" s="61" t="s">
        <v>1335</v>
      </c>
      <c r="D60" s="61" t="s">
        <v>1336</v>
      </c>
      <c r="E60" s="61" t="s">
        <v>1337</v>
      </c>
      <c r="F60" s="61" t="s">
        <v>1338</v>
      </c>
      <c r="G60" s="61" t="s">
        <v>1339</v>
      </c>
      <c r="H60" s="61" t="s">
        <v>1340</v>
      </c>
      <c r="I60" s="61"/>
      <c r="J60" s="53"/>
      <c r="K60" s="66" t="s">
        <v>1341</v>
      </c>
      <c r="L60" s="323"/>
    </row>
    <row r="61" spans="1:15" ht="45" customHeight="1" x14ac:dyDescent="0.2">
      <c r="A61" s="276"/>
      <c r="B61" s="9">
        <v>8260099343</v>
      </c>
      <c r="C61" s="9" t="s">
        <v>1342</v>
      </c>
      <c r="D61" s="9">
        <v>8260099332</v>
      </c>
      <c r="E61" s="9">
        <v>8260099351</v>
      </c>
      <c r="F61" s="9">
        <v>8260099348</v>
      </c>
      <c r="G61" s="9">
        <v>8260099357</v>
      </c>
      <c r="H61" s="9">
        <v>8260099330</v>
      </c>
      <c r="I61" s="9"/>
      <c r="J61" s="7"/>
      <c r="K61" s="9">
        <v>8260099329</v>
      </c>
      <c r="L61" s="325"/>
    </row>
    <row r="62" spans="1:15" x14ac:dyDescent="0.2">
      <c r="A62" s="276">
        <v>46148</v>
      </c>
      <c r="B62" s="61" t="s">
        <v>1343</v>
      </c>
      <c r="C62" s="61" t="s">
        <v>1344</v>
      </c>
      <c r="D62" s="61" t="s">
        <v>1345</v>
      </c>
      <c r="E62" s="61" t="s">
        <v>1346</v>
      </c>
      <c r="F62" s="61" t="s">
        <v>1347</v>
      </c>
      <c r="G62" s="61" t="s">
        <v>1348</v>
      </c>
      <c r="H62" s="61"/>
      <c r="I62" s="61"/>
      <c r="J62" s="53"/>
      <c r="K62" s="66" t="s">
        <v>1349</v>
      </c>
      <c r="L62" s="366"/>
    </row>
    <row r="63" spans="1:15" ht="45" customHeight="1" x14ac:dyDescent="0.2">
      <c r="A63" s="276"/>
      <c r="B63" s="9">
        <v>8260099415</v>
      </c>
      <c r="C63" s="9" t="s">
        <v>1350</v>
      </c>
      <c r="D63" s="9">
        <v>8260099413</v>
      </c>
      <c r="E63" s="9">
        <v>8260099402</v>
      </c>
      <c r="F63" s="9">
        <v>8260099427</v>
      </c>
      <c r="G63" s="9">
        <v>8260099429</v>
      </c>
      <c r="H63" s="9"/>
      <c r="I63" s="9"/>
      <c r="J63" s="7"/>
      <c r="K63" s="9">
        <v>8260099411</v>
      </c>
      <c r="L63" s="367"/>
    </row>
    <row r="64" spans="1:15" x14ac:dyDescent="0.2">
      <c r="A64" s="276">
        <v>46149</v>
      </c>
      <c r="B64" s="61" t="s">
        <v>1351</v>
      </c>
      <c r="C64" s="61" t="s">
        <v>1352</v>
      </c>
      <c r="D64" s="61"/>
      <c r="E64" s="61" t="s">
        <v>1353</v>
      </c>
      <c r="F64" s="61" t="s">
        <v>1354</v>
      </c>
      <c r="G64" s="61" t="s">
        <v>1355</v>
      </c>
      <c r="H64" s="61" t="s">
        <v>1356</v>
      </c>
      <c r="I64" s="61"/>
      <c r="J64" s="53"/>
      <c r="K64" s="61" t="s">
        <v>1357</v>
      </c>
      <c r="L64" s="323"/>
    </row>
    <row r="65" spans="1:12" ht="45" customHeight="1" x14ac:dyDescent="0.2">
      <c r="A65" s="276"/>
      <c r="B65" s="121">
        <v>8260099511</v>
      </c>
      <c r="C65" s="9" t="s">
        <v>1358</v>
      </c>
      <c r="D65" s="9"/>
      <c r="E65" s="9">
        <v>8260099503</v>
      </c>
      <c r="F65" s="9">
        <v>8260099508</v>
      </c>
      <c r="G65" s="9">
        <v>8260099498</v>
      </c>
      <c r="H65" s="9">
        <v>8260099483</v>
      </c>
      <c r="I65" s="9"/>
      <c r="J65" s="7"/>
      <c r="K65" s="9">
        <v>8260099479</v>
      </c>
      <c r="L65" s="325"/>
    </row>
    <row r="66" spans="1:12" x14ac:dyDescent="0.2">
      <c r="A66" s="276">
        <v>46150</v>
      </c>
      <c r="B66" s="61" t="s">
        <v>1359</v>
      </c>
      <c r="C66" s="61" t="s">
        <v>1360</v>
      </c>
      <c r="D66" s="61" t="s">
        <v>1361</v>
      </c>
      <c r="E66" s="61" t="s">
        <v>1362</v>
      </c>
      <c r="F66" s="61" t="s">
        <v>1363</v>
      </c>
      <c r="G66" s="61" t="s">
        <v>496</v>
      </c>
      <c r="H66" s="61" t="s">
        <v>1364</v>
      </c>
      <c r="I66" s="61"/>
      <c r="J66" s="53"/>
      <c r="K66" s="66" t="s">
        <v>1365</v>
      </c>
      <c r="L66" s="323"/>
    </row>
    <row r="67" spans="1:12" ht="45" customHeight="1" x14ac:dyDescent="0.2">
      <c r="A67" s="276"/>
      <c r="B67" s="9">
        <v>8260099578</v>
      </c>
      <c r="C67" s="9" t="s">
        <v>1366</v>
      </c>
      <c r="D67" s="9">
        <v>8260099564</v>
      </c>
      <c r="E67" s="9">
        <v>8260099566</v>
      </c>
      <c r="F67" s="9">
        <v>8260099569</v>
      </c>
      <c r="G67" s="9">
        <v>8260099568</v>
      </c>
      <c r="H67" s="9">
        <v>8260099571</v>
      </c>
      <c r="I67" s="9"/>
      <c r="J67" s="7"/>
      <c r="K67" s="9">
        <v>8260099565</v>
      </c>
      <c r="L67" s="325"/>
    </row>
    <row r="68" spans="1:12" x14ac:dyDescent="0.2">
      <c r="A68" s="112" t="s">
        <v>1274</v>
      </c>
      <c r="B68" s="143">
        <v>5</v>
      </c>
      <c r="C68" s="143">
        <v>5</v>
      </c>
      <c r="D68" s="143">
        <v>4</v>
      </c>
      <c r="E68" s="143">
        <v>5</v>
      </c>
      <c r="F68" s="143">
        <v>5</v>
      </c>
      <c r="G68" s="143">
        <v>5</v>
      </c>
      <c r="H68" s="143">
        <v>4</v>
      </c>
      <c r="I68" s="143">
        <v>0</v>
      </c>
      <c r="J68" s="143">
        <v>0</v>
      </c>
      <c r="K68" s="143">
        <v>5</v>
      </c>
      <c r="L68" s="149">
        <f>SUM(B68:K68)</f>
        <v>38</v>
      </c>
    </row>
    <row r="69" spans="1:12" x14ac:dyDescent="0.2">
      <c r="A69" s="112" t="s">
        <v>1275</v>
      </c>
      <c r="B69" s="143">
        <v>5</v>
      </c>
      <c r="C69" s="143">
        <v>5</v>
      </c>
      <c r="D69" s="143">
        <v>4</v>
      </c>
      <c r="E69" s="143">
        <v>5</v>
      </c>
      <c r="F69" s="143">
        <v>5</v>
      </c>
      <c r="G69" s="143">
        <v>5</v>
      </c>
      <c r="H69" s="143">
        <v>4</v>
      </c>
      <c r="I69" s="143">
        <v>0</v>
      </c>
      <c r="J69" s="143">
        <v>0</v>
      </c>
      <c r="K69" s="143">
        <v>5</v>
      </c>
      <c r="L69" s="149">
        <f t="shared" ref="L69:L70" si="3">SUM(B69:K69)</f>
        <v>38</v>
      </c>
    </row>
    <row r="70" spans="1:12" x14ac:dyDescent="0.2">
      <c r="A70" s="2" t="s">
        <v>1276</v>
      </c>
      <c r="B70" s="146">
        <v>0</v>
      </c>
      <c r="C70" s="146">
        <v>0</v>
      </c>
      <c r="D70" s="146">
        <v>0</v>
      </c>
      <c r="E70" s="146">
        <v>0</v>
      </c>
      <c r="F70" s="146">
        <v>0</v>
      </c>
      <c r="G70" s="146">
        <v>0</v>
      </c>
      <c r="H70" s="146">
        <v>0</v>
      </c>
      <c r="I70" s="146">
        <v>0</v>
      </c>
      <c r="J70" s="146">
        <v>0</v>
      </c>
      <c r="K70" s="146">
        <v>0</v>
      </c>
      <c r="L70" s="150">
        <f t="shared" si="3"/>
        <v>0</v>
      </c>
    </row>
    <row r="72" spans="1:12" ht="27.75" x14ac:dyDescent="0.2">
      <c r="A72" s="280" t="s">
        <v>34</v>
      </c>
      <c r="B72" s="5" t="s">
        <v>196</v>
      </c>
      <c r="C72" s="5" t="s">
        <v>472</v>
      </c>
      <c r="D72" s="5" t="s">
        <v>198</v>
      </c>
      <c r="E72" s="5" t="s">
        <v>199</v>
      </c>
      <c r="F72" s="5" t="s">
        <v>200</v>
      </c>
      <c r="G72" s="5" t="s">
        <v>201</v>
      </c>
      <c r="H72" s="5" t="s">
        <v>202</v>
      </c>
      <c r="I72" s="5" t="s">
        <v>203</v>
      </c>
      <c r="J72" s="5" t="s">
        <v>204</v>
      </c>
      <c r="K72" s="5" t="s">
        <v>1149</v>
      </c>
      <c r="L72" s="104" t="s">
        <v>8</v>
      </c>
    </row>
    <row r="73" spans="1:12" x14ac:dyDescent="0.2">
      <c r="A73" s="280"/>
      <c r="B73" s="15" t="s">
        <v>153</v>
      </c>
      <c r="C73" s="15" t="s">
        <v>205</v>
      </c>
      <c r="D73" s="15" t="s">
        <v>206</v>
      </c>
      <c r="E73" s="15" t="s">
        <v>207</v>
      </c>
      <c r="F73" s="15" t="s">
        <v>208</v>
      </c>
      <c r="G73" s="15" t="s">
        <v>207</v>
      </c>
      <c r="H73" s="15" t="s">
        <v>103</v>
      </c>
      <c r="I73" s="15" t="s">
        <v>208</v>
      </c>
      <c r="J73" s="15" t="s">
        <v>209</v>
      </c>
      <c r="K73" s="15" t="s">
        <v>1150</v>
      </c>
      <c r="L73" s="104"/>
    </row>
    <row r="74" spans="1:12" x14ac:dyDescent="0.2">
      <c r="A74" s="379">
        <v>46146</v>
      </c>
      <c r="B74" s="61" t="s">
        <v>1367</v>
      </c>
      <c r="C74" s="61" t="s">
        <v>1368</v>
      </c>
      <c r="D74" s="61" t="s">
        <v>1369</v>
      </c>
      <c r="E74" s="61" t="s">
        <v>1370</v>
      </c>
      <c r="F74" s="61" t="s">
        <v>1371</v>
      </c>
      <c r="G74" s="61" t="s">
        <v>1372</v>
      </c>
      <c r="H74" s="61" t="s">
        <v>1373</v>
      </c>
      <c r="I74" s="61" t="s">
        <v>1326</v>
      </c>
      <c r="J74" s="66"/>
      <c r="K74" s="66"/>
      <c r="L74" s="103"/>
    </row>
    <row r="75" spans="1:12" ht="45" customHeight="1" x14ac:dyDescent="0.2">
      <c r="A75" s="379"/>
      <c r="B75" s="9">
        <v>8260099289</v>
      </c>
      <c r="C75" s="9">
        <v>8260099268</v>
      </c>
      <c r="D75" s="9">
        <v>8260099288</v>
      </c>
      <c r="E75" s="9">
        <v>8260099278</v>
      </c>
      <c r="F75" s="9">
        <v>8260099283</v>
      </c>
      <c r="G75" s="9">
        <v>8260099276</v>
      </c>
      <c r="H75" s="9">
        <v>8260099284</v>
      </c>
      <c r="I75" s="9" t="s">
        <v>1374</v>
      </c>
      <c r="J75" s="9"/>
      <c r="K75" s="9"/>
      <c r="L75" s="103"/>
    </row>
    <row r="76" spans="1:12" x14ac:dyDescent="0.2">
      <c r="A76" s="276">
        <v>46147</v>
      </c>
      <c r="B76" s="61" t="s">
        <v>1375</v>
      </c>
      <c r="C76" s="61"/>
      <c r="D76" s="61" t="s">
        <v>1376</v>
      </c>
      <c r="E76" s="61" t="s">
        <v>1377</v>
      </c>
      <c r="F76" s="61" t="s">
        <v>1378</v>
      </c>
      <c r="G76" s="61" t="s">
        <v>1379</v>
      </c>
      <c r="H76" s="61" t="s">
        <v>1380</v>
      </c>
      <c r="I76" s="61" t="s">
        <v>1381</v>
      </c>
      <c r="J76" s="66"/>
      <c r="K76" s="66"/>
      <c r="L76" s="111"/>
    </row>
    <row r="77" spans="1:12" ht="45" customHeight="1" x14ac:dyDescent="0.2">
      <c r="A77" s="276"/>
      <c r="B77" s="9">
        <v>8260099333</v>
      </c>
      <c r="C77" s="9"/>
      <c r="D77" s="9">
        <v>8260099355</v>
      </c>
      <c r="E77" s="9">
        <v>8260099345</v>
      </c>
      <c r="F77" s="9">
        <v>8260099358</v>
      </c>
      <c r="G77" s="9">
        <v>8260099331</v>
      </c>
      <c r="H77" s="9">
        <v>8260099356</v>
      </c>
      <c r="I77" s="9" t="s">
        <v>1382</v>
      </c>
      <c r="J77" s="7"/>
      <c r="K77" s="9"/>
      <c r="L77" s="111"/>
    </row>
    <row r="78" spans="1:12" x14ac:dyDescent="0.2">
      <c r="A78" s="276">
        <v>46148</v>
      </c>
      <c r="B78" s="17" t="s">
        <v>1383</v>
      </c>
      <c r="C78" s="61" t="s">
        <v>1384</v>
      </c>
      <c r="D78" s="61" t="s">
        <v>1385</v>
      </c>
      <c r="E78" s="61" t="s">
        <v>1386</v>
      </c>
      <c r="F78" s="61" t="s">
        <v>1387</v>
      </c>
      <c r="G78" s="61" t="s">
        <v>1388</v>
      </c>
      <c r="H78" s="61" t="s">
        <v>432</v>
      </c>
      <c r="I78" s="61" t="s">
        <v>1389</v>
      </c>
      <c r="J78" s="53"/>
      <c r="K78" s="66"/>
      <c r="L78" s="111"/>
    </row>
    <row r="79" spans="1:12" ht="45" customHeight="1" x14ac:dyDescent="0.2">
      <c r="A79" s="276"/>
      <c r="B79" s="9">
        <v>8260099422</v>
      </c>
      <c r="C79" s="9">
        <v>8260099412</v>
      </c>
      <c r="D79" s="9">
        <v>8260099424</v>
      </c>
      <c r="E79" s="9">
        <v>82600099420</v>
      </c>
      <c r="F79" s="9">
        <v>8260099428</v>
      </c>
      <c r="G79" s="9">
        <v>8260099421</v>
      </c>
      <c r="H79" s="9">
        <v>8260099401</v>
      </c>
      <c r="I79" s="9" t="s">
        <v>1390</v>
      </c>
      <c r="J79" s="7"/>
      <c r="K79" s="9"/>
      <c r="L79" s="111" t="s">
        <v>1391</v>
      </c>
    </row>
    <row r="80" spans="1:12" x14ac:dyDescent="0.2">
      <c r="A80" s="276">
        <v>46149</v>
      </c>
      <c r="B80" s="61" t="s">
        <v>1392</v>
      </c>
      <c r="C80" s="61" t="s">
        <v>1393</v>
      </c>
      <c r="D80" s="61" t="s">
        <v>1394</v>
      </c>
      <c r="E80" s="61" t="s">
        <v>1395</v>
      </c>
      <c r="F80" s="61" t="s">
        <v>1396</v>
      </c>
      <c r="G80" s="61" t="s">
        <v>483</v>
      </c>
      <c r="H80" s="61" t="s">
        <v>1397</v>
      </c>
      <c r="I80" s="61" t="s">
        <v>1398</v>
      </c>
      <c r="J80" s="53"/>
      <c r="K80" s="16"/>
      <c r="L80" s="111"/>
    </row>
    <row r="81" spans="1:14" ht="45" customHeight="1" x14ac:dyDescent="0.2">
      <c r="A81" s="276"/>
      <c r="B81" s="9">
        <v>8260099499</v>
      </c>
      <c r="C81" s="9">
        <v>8260099480</v>
      </c>
      <c r="D81" s="9">
        <v>8260099489</v>
      </c>
      <c r="E81" s="9">
        <v>8260099509</v>
      </c>
      <c r="F81" s="9">
        <v>8260099507</v>
      </c>
      <c r="G81" s="9">
        <v>8260099481</v>
      </c>
      <c r="H81" s="9">
        <v>8260099506</v>
      </c>
      <c r="I81" s="9" t="s">
        <v>1399</v>
      </c>
      <c r="J81" s="7"/>
      <c r="K81" s="9"/>
      <c r="L81" s="111" t="s">
        <v>1400</v>
      </c>
    </row>
    <row r="82" spans="1:14" x14ac:dyDescent="0.2">
      <c r="A82" s="276">
        <v>46150</v>
      </c>
      <c r="B82" s="61" t="s">
        <v>1364</v>
      </c>
      <c r="C82" s="61" t="s">
        <v>1401</v>
      </c>
      <c r="D82" s="61" t="s">
        <v>1402</v>
      </c>
      <c r="E82" s="61" t="s">
        <v>416</v>
      </c>
      <c r="F82" s="61" t="s">
        <v>1403</v>
      </c>
      <c r="G82" s="61" t="s">
        <v>1404</v>
      </c>
      <c r="H82" s="61" t="s">
        <v>1397</v>
      </c>
      <c r="I82" s="61" t="s">
        <v>1405</v>
      </c>
      <c r="J82" s="53"/>
      <c r="K82" s="66"/>
      <c r="L82" s="10"/>
    </row>
    <row r="83" spans="1:14" ht="45" customHeight="1" x14ac:dyDescent="0.2">
      <c r="A83" s="276"/>
      <c r="B83" s="9">
        <v>8260099574</v>
      </c>
      <c r="C83" s="9">
        <v>8260099559</v>
      </c>
      <c r="D83" s="9">
        <v>8260099579</v>
      </c>
      <c r="E83" s="9">
        <v>8260099553</v>
      </c>
      <c r="F83" s="9">
        <v>8260099572</v>
      </c>
      <c r="G83" s="9">
        <v>8260099580</v>
      </c>
      <c r="H83" s="9">
        <v>8260099577</v>
      </c>
      <c r="I83" s="9" t="s">
        <v>1406</v>
      </c>
      <c r="J83" s="7"/>
      <c r="K83" s="9"/>
      <c r="L83" s="111"/>
    </row>
    <row r="84" spans="1:14" x14ac:dyDescent="0.2">
      <c r="A84" s="112" t="s">
        <v>1274</v>
      </c>
      <c r="B84" s="143">
        <v>5</v>
      </c>
      <c r="C84" s="143">
        <v>4</v>
      </c>
      <c r="D84" s="143">
        <v>5</v>
      </c>
      <c r="E84" s="143">
        <v>5</v>
      </c>
      <c r="F84" s="143">
        <v>5</v>
      </c>
      <c r="G84" s="143">
        <v>5</v>
      </c>
      <c r="H84" s="143">
        <v>5</v>
      </c>
      <c r="I84" s="143">
        <v>5</v>
      </c>
      <c r="J84" s="143">
        <v>0</v>
      </c>
      <c r="K84" s="143">
        <v>0</v>
      </c>
      <c r="L84" s="113">
        <f>SUM(B84:K84)</f>
        <v>39</v>
      </c>
    </row>
    <row r="85" spans="1:14" x14ac:dyDescent="0.2">
      <c r="A85" s="112" t="s">
        <v>1275</v>
      </c>
      <c r="B85" s="143">
        <v>4</v>
      </c>
      <c r="C85" s="143">
        <v>4</v>
      </c>
      <c r="D85" s="143">
        <v>5</v>
      </c>
      <c r="E85" s="143">
        <v>5</v>
      </c>
      <c r="F85" s="143">
        <v>5</v>
      </c>
      <c r="G85" s="143">
        <v>5</v>
      </c>
      <c r="H85" s="143">
        <v>5</v>
      </c>
      <c r="I85" s="143">
        <v>5</v>
      </c>
      <c r="J85" s="143">
        <v>0</v>
      </c>
      <c r="K85" s="143">
        <v>0</v>
      </c>
      <c r="L85" s="113">
        <f t="shared" ref="L85:L86" si="4">SUM(B85:K85)</f>
        <v>38</v>
      </c>
    </row>
    <row r="86" spans="1:14" x14ac:dyDescent="0.2">
      <c r="A86" s="2" t="s">
        <v>1276</v>
      </c>
      <c r="B86" s="146">
        <v>1</v>
      </c>
      <c r="C86" s="146">
        <v>0</v>
      </c>
      <c r="D86" s="146">
        <v>0</v>
      </c>
      <c r="E86" s="146">
        <v>0</v>
      </c>
      <c r="F86" s="146">
        <v>0</v>
      </c>
      <c r="G86" s="146">
        <v>0</v>
      </c>
      <c r="H86" s="146">
        <v>0</v>
      </c>
      <c r="I86" s="146">
        <v>0</v>
      </c>
      <c r="J86" s="146">
        <v>0</v>
      </c>
      <c r="K86" s="146">
        <v>0</v>
      </c>
      <c r="L86" s="151">
        <f t="shared" si="4"/>
        <v>1</v>
      </c>
    </row>
    <row r="88" spans="1:14" x14ac:dyDescent="0.2">
      <c r="A88" s="279" t="s">
        <v>252</v>
      </c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38"/>
      <c r="N88" s="38"/>
    </row>
    <row r="89" spans="1:14" ht="27.75" x14ac:dyDescent="0.2">
      <c r="A89" s="329" t="s">
        <v>34</v>
      </c>
      <c r="B89" s="82" t="s">
        <v>253</v>
      </c>
      <c r="C89" s="82" t="s">
        <v>254</v>
      </c>
      <c r="D89" s="82" t="s">
        <v>255</v>
      </c>
      <c r="E89" s="82" t="s">
        <v>256</v>
      </c>
      <c r="F89" s="82" t="s">
        <v>257</v>
      </c>
      <c r="G89" s="82" t="s">
        <v>258</v>
      </c>
      <c r="H89" s="82" t="s">
        <v>259</v>
      </c>
      <c r="I89" s="82" t="s">
        <v>260</v>
      </c>
      <c r="J89" s="330" t="s">
        <v>8</v>
      </c>
      <c r="K89" s="330"/>
      <c r="L89" s="330"/>
    </row>
    <row r="90" spans="1:14" x14ac:dyDescent="0.2">
      <c r="A90" s="280"/>
      <c r="B90" s="15" t="s">
        <v>154</v>
      </c>
      <c r="C90" s="15" t="s">
        <v>261</v>
      </c>
      <c r="D90" s="15" t="s">
        <v>262</v>
      </c>
      <c r="E90" s="15" t="s">
        <v>42</v>
      </c>
      <c r="F90" s="15" t="s">
        <v>263</v>
      </c>
      <c r="G90" s="15" t="s">
        <v>264</v>
      </c>
      <c r="H90" s="15" t="s">
        <v>265</v>
      </c>
      <c r="I90" s="15" t="s">
        <v>263</v>
      </c>
      <c r="J90" s="282"/>
      <c r="K90" s="282"/>
      <c r="L90" s="282"/>
    </row>
    <row r="91" spans="1:14" x14ac:dyDescent="0.2">
      <c r="A91" s="379">
        <v>46146</v>
      </c>
      <c r="B91" s="61" t="s">
        <v>1407</v>
      </c>
      <c r="C91" s="61" t="s">
        <v>1408</v>
      </c>
      <c r="D91" s="61" t="s">
        <v>1409</v>
      </c>
      <c r="E91" s="61" t="s">
        <v>1409</v>
      </c>
      <c r="F91" s="61" t="s">
        <v>1410</v>
      </c>
      <c r="G91" s="61" t="s">
        <v>1408</v>
      </c>
      <c r="H91" s="61" t="s">
        <v>1411</v>
      </c>
      <c r="I91" s="61"/>
      <c r="J91" s="331"/>
      <c r="K91" s="331"/>
      <c r="L91" s="331"/>
    </row>
    <row r="92" spans="1:14" ht="45" customHeight="1" x14ac:dyDescent="0.2">
      <c r="A92" s="379"/>
      <c r="B92" s="9">
        <v>8260099281</v>
      </c>
      <c r="C92" s="9">
        <v>8260099258</v>
      </c>
      <c r="D92" s="9">
        <v>8260099265</v>
      </c>
      <c r="E92" s="9">
        <v>8260099257</v>
      </c>
      <c r="F92" s="9">
        <v>8260099285</v>
      </c>
      <c r="G92" s="9">
        <v>8260099272</v>
      </c>
      <c r="H92" s="9">
        <v>8260099259</v>
      </c>
      <c r="I92" s="9"/>
      <c r="J92" s="331"/>
      <c r="K92" s="331"/>
      <c r="L92" s="331"/>
    </row>
    <row r="93" spans="1:14" x14ac:dyDescent="0.2">
      <c r="A93" s="276">
        <v>46147</v>
      </c>
      <c r="B93" s="61" t="s">
        <v>1412</v>
      </c>
      <c r="C93" s="61" t="s">
        <v>1413</v>
      </c>
      <c r="D93" s="61" t="s">
        <v>1414</v>
      </c>
      <c r="E93" s="61" t="s">
        <v>1415</v>
      </c>
      <c r="F93" s="61" t="s">
        <v>1416</v>
      </c>
      <c r="G93" s="61" t="s">
        <v>1417</v>
      </c>
      <c r="H93" s="61" t="s">
        <v>1418</v>
      </c>
      <c r="I93" s="61"/>
      <c r="J93" s="331"/>
      <c r="K93" s="331"/>
      <c r="L93" s="331"/>
    </row>
    <row r="94" spans="1:14" ht="45" customHeight="1" x14ac:dyDescent="0.2">
      <c r="A94" s="276"/>
      <c r="B94" s="9" t="s">
        <v>1419</v>
      </c>
      <c r="C94" s="9">
        <v>8260099338</v>
      </c>
      <c r="D94" s="9">
        <v>8260099344</v>
      </c>
      <c r="E94" s="9">
        <v>8260099339</v>
      </c>
      <c r="F94" s="9">
        <v>8260099353</v>
      </c>
      <c r="G94" s="9">
        <v>8260099349</v>
      </c>
      <c r="H94" s="9">
        <v>8260099352</v>
      </c>
      <c r="I94" s="9"/>
      <c r="J94" s="331"/>
      <c r="K94" s="331"/>
      <c r="L94" s="331"/>
    </row>
    <row r="95" spans="1:14" x14ac:dyDescent="0.2">
      <c r="A95" s="276">
        <v>46148</v>
      </c>
      <c r="B95" s="61" t="s">
        <v>1420</v>
      </c>
      <c r="C95" s="61" t="s">
        <v>1421</v>
      </c>
      <c r="D95" s="61" t="s">
        <v>1422</v>
      </c>
      <c r="E95" s="61" t="s">
        <v>1422</v>
      </c>
      <c r="F95" s="61" t="s">
        <v>1423</v>
      </c>
      <c r="G95" s="61"/>
      <c r="H95" s="61" t="s">
        <v>1424</v>
      </c>
      <c r="I95" s="61"/>
      <c r="J95" s="331"/>
      <c r="K95" s="331"/>
      <c r="L95" s="331"/>
    </row>
    <row r="96" spans="1:14" ht="45" customHeight="1" x14ac:dyDescent="0.2">
      <c r="A96" s="276"/>
      <c r="B96" s="9" t="s">
        <v>1425</v>
      </c>
      <c r="C96" s="9">
        <v>8260099410</v>
      </c>
      <c r="D96" s="9">
        <v>8260099400</v>
      </c>
      <c r="E96" s="9">
        <v>8260099409</v>
      </c>
      <c r="F96" s="9">
        <v>8260099408</v>
      </c>
      <c r="G96" s="9"/>
      <c r="H96" s="9">
        <v>8260099416</v>
      </c>
      <c r="I96" s="9"/>
      <c r="J96" s="331"/>
      <c r="K96" s="331"/>
      <c r="L96" s="331"/>
    </row>
    <row r="97" spans="1:12" x14ac:dyDescent="0.2">
      <c r="A97" s="276">
        <v>46149</v>
      </c>
      <c r="B97" s="61" t="s">
        <v>1426</v>
      </c>
      <c r="C97" s="61" t="s">
        <v>1427</v>
      </c>
      <c r="D97" s="61" t="s">
        <v>1428</v>
      </c>
      <c r="E97" s="61" t="s">
        <v>1428</v>
      </c>
      <c r="F97" s="61" t="s">
        <v>1429</v>
      </c>
      <c r="G97" s="61" t="s">
        <v>1430</v>
      </c>
      <c r="H97" s="61" t="s">
        <v>1431</v>
      </c>
      <c r="I97" s="61"/>
      <c r="J97" s="278"/>
      <c r="K97" s="278"/>
      <c r="L97" s="278"/>
    </row>
    <row r="98" spans="1:12" ht="45" customHeight="1" x14ac:dyDescent="0.2">
      <c r="A98" s="276"/>
      <c r="B98" s="9" t="s">
        <v>1432</v>
      </c>
      <c r="C98" s="9">
        <v>8260099478</v>
      </c>
      <c r="D98" s="9">
        <v>8260099486</v>
      </c>
      <c r="E98" s="9">
        <v>8260099492</v>
      </c>
      <c r="F98" s="9">
        <v>8260099484</v>
      </c>
      <c r="G98" s="9">
        <v>8260099490</v>
      </c>
      <c r="H98" s="9">
        <v>8260099485</v>
      </c>
      <c r="I98" s="9"/>
      <c r="J98" s="278"/>
      <c r="K98" s="278"/>
      <c r="L98" s="278"/>
    </row>
    <row r="99" spans="1:12" x14ac:dyDescent="0.2">
      <c r="A99" s="276">
        <v>46150</v>
      </c>
      <c r="B99" s="61" t="s">
        <v>1433</v>
      </c>
      <c r="C99" s="61" t="s">
        <v>1434</v>
      </c>
      <c r="D99" s="61" t="s">
        <v>1435</v>
      </c>
      <c r="E99" s="61" t="s">
        <v>1435</v>
      </c>
      <c r="F99" s="61" t="s">
        <v>1436</v>
      </c>
      <c r="G99" s="61" t="s">
        <v>1437</v>
      </c>
      <c r="H99" s="61" t="s">
        <v>1438</v>
      </c>
      <c r="I99" s="61"/>
      <c r="J99" s="368" t="s">
        <v>783</v>
      </c>
      <c r="K99" s="368"/>
      <c r="L99" s="368"/>
    </row>
    <row r="100" spans="1:12" ht="45" customHeight="1" x14ac:dyDescent="0.2">
      <c r="A100" s="276"/>
      <c r="B100" s="9" t="s">
        <v>1439</v>
      </c>
      <c r="C100" s="9">
        <v>8260099570</v>
      </c>
      <c r="D100" s="9">
        <v>8260099581</v>
      </c>
      <c r="E100" s="9">
        <v>8260099557</v>
      </c>
      <c r="F100" s="9">
        <v>8260099556</v>
      </c>
      <c r="G100" s="9">
        <v>8260099555</v>
      </c>
      <c r="H100" s="9">
        <v>8260099561</v>
      </c>
      <c r="I100" s="9"/>
      <c r="J100" s="368"/>
      <c r="K100" s="368"/>
      <c r="L100" s="368"/>
    </row>
    <row r="101" spans="1:12" x14ac:dyDescent="0.2">
      <c r="A101" s="112" t="s">
        <v>1274</v>
      </c>
      <c r="B101" s="143">
        <v>5</v>
      </c>
      <c r="C101" s="143">
        <v>5</v>
      </c>
      <c r="D101" s="143">
        <v>5</v>
      </c>
      <c r="E101" s="143">
        <v>5</v>
      </c>
      <c r="F101" s="143">
        <v>5</v>
      </c>
      <c r="G101" s="143">
        <v>4</v>
      </c>
      <c r="H101" s="143">
        <v>5</v>
      </c>
      <c r="I101" s="143">
        <v>0</v>
      </c>
      <c r="J101" s="92">
        <f>SUM(B101:I101)</f>
        <v>34</v>
      </c>
    </row>
    <row r="102" spans="1:12" x14ac:dyDescent="0.2">
      <c r="A102" s="112" t="s">
        <v>1275</v>
      </c>
      <c r="B102" s="143">
        <v>5</v>
      </c>
      <c r="C102" s="143">
        <v>5</v>
      </c>
      <c r="D102" s="143">
        <v>5</v>
      </c>
      <c r="E102" s="143">
        <v>5</v>
      </c>
      <c r="F102" s="143">
        <v>5</v>
      </c>
      <c r="G102" s="143">
        <v>4</v>
      </c>
      <c r="H102" s="143">
        <v>5</v>
      </c>
      <c r="I102" s="143">
        <v>0</v>
      </c>
      <c r="J102" s="92">
        <f t="shared" ref="J102:J103" si="5">SUM(B102:I102)</f>
        <v>34</v>
      </c>
    </row>
    <row r="103" spans="1:12" x14ac:dyDescent="0.2">
      <c r="A103" s="2" t="s">
        <v>1276</v>
      </c>
      <c r="B103" s="146">
        <v>0</v>
      </c>
      <c r="C103" s="146">
        <v>0</v>
      </c>
      <c r="D103" s="146">
        <v>0</v>
      </c>
      <c r="E103" s="146">
        <v>0</v>
      </c>
      <c r="F103" s="146">
        <v>0</v>
      </c>
      <c r="G103" s="146">
        <v>0</v>
      </c>
      <c r="H103" s="146">
        <v>0</v>
      </c>
      <c r="I103" s="146">
        <v>0</v>
      </c>
      <c r="J103" s="152">
        <f t="shared" si="5"/>
        <v>0</v>
      </c>
    </row>
  </sheetData>
  <mergeCells count="71">
    <mergeCell ref="A95:A96"/>
    <mergeCell ref="J95:L96"/>
    <mergeCell ref="A97:A98"/>
    <mergeCell ref="J97:L98"/>
    <mergeCell ref="A99:A100"/>
    <mergeCell ref="J99:L100"/>
    <mergeCell ref="A93:A94"/>
    <mergeCell ref="J93:L94"/>
    <mergeCell ref="A72:A73"/>
    <mergeCell ref="A74:A75"/>
    <mergeCell ref="A76:A77"/>
    <mergeCell ref="A78:A79"/>
    <mergeCell ref="A80:A81"/>
    <mergeCell ref="A82:A83"/>
    <mergeCell ref="A88:L88"/>
    <mergeCell ref="A89:A90"/>
    <mergeCell ref="J89:L90"/>
    <mergeCell ref="A91:A92"/>
    <mergeCell ref="J91:L92"/>
    <mergeCell ref="A62:A63"/>
    <mergeCell ref="L62:L63"/>
    <mergeCell ref="A64:A65"/>
    <mergeCell ref="L64:L65"/>
    <mergeCell ref="A66:A67"/>
    <mergeCell ref="L66:L67"/>
    <mergeCell ref="A60:A61"/>
    <mergeCell ref="L60:L61"/>
    <mergeCell ref="A45:A46"/>
    <mergeCell ref="H45:J46"/>
    <mergeCell ref="A47:A48"/>
    <mergeCell ref="H47:J48"/>
    <mergeCell ref="A49:A50"/>
    <mergeCell ref="H49:J50"/>
    <mergeCell ref="A55:L55"/>
    <mergeCell ref="A56:A57"/>
    <mergeCell ref="L56:L57"/>
    <mergeCell ref="A58:A59"/>
    <mergeCell ref="L58:L59"/>
    <mergeCell ref="A39:A40"/>
    <mergeCell ref="H39:J40"/>
    <mergeCell ref="A41:A42"/>
    <mergeCell ref="H41:J42"/>
    <mergeCell ref="A43:A44"/>
    <mergeCell ref="H43:J44"/>
    <mergeCell ref="A38:J38"/>
    <mergeCell ref="A15:A16"/>
    <mergeCell ref="K15:L16"/>
    <mergeCell ref="A21:A23"/>
    <mergeCell ref="B21:B22"/>
    <mergeCell ref="C21:C22"/>
    <mergeCell ref="D21:D22"/>
    <mergeCell ref="A24:A25"/>
    <mergeCell ref="A26:A27"/>
    <mergeCell ref="A28:A29"/>
    <mergeCell ref="A30:A31"/>
    <mergeCell ref="A32:A33"/>
    <mergeCell ref="E21:G22"/>
    <mergeCell ref="E30:G31"/>
    <mergeCell ref="A9:A10"/>
    <mergeCell ref="K9:L10"/>
    <mergeCell ref="A11:A12"/>
    <mergeCell ref="K11:L12"/>
    <mergeCell ref="A13:A14"/>
    <mergeCell ref="K13:L14"/>
    <mergeCell ref="A7:A8"/>
    <mergeCell ref="K7:L8"/>
    <mergeCell ref="A3:L3"/>
    <mergeCell ref="A4:A6"/>
    <mergeCell ref="B4:G4"/>
    <mergeCell ref="H4:J4"/>
    <mergeCell ref="K4:L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22C0-65E8-4432-AB3E-97A35AC12FA3}">
  <dimension ref="A1:H61"/>
  <sheetViews>
    <sheetView topLeftCell="A24" workbookViewId="0">
      <selection activeCell="B17" sqref="B17:E17"/>
    </sheetView>
  </sheetViews>
  <sheetFormatPr defaultRowHeight="15" x14ac:dyDescent="0.2"/>
  <cols>
    <col min="1" max="1" width="23.13671875" customWidth="1"/>
    <col min="2" max="3" width="15.6015625" customWidth="1"/>
    <col min="4" max="4" width="20.984375" bestFit="1" customWidth="1"/>
    <col min="5" max="5" width="15.6015625" customWidth="1"/>
    <col min="6" max="6" width="21.38671875" style="3" customWidth="1"/>
    <col min="7" max="7" width="15.6015625" customWidth="1"/>
    <col min="8" max="8" width="80.30859375" style="99" bestFit="1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76">
        <v>46153</v>
      </c>
      <c r="B4" s="8" t="s">
        <v>9</v>
      </c>
      <c r="C4" s="8" t="s">
        <v>307</v>
      </c>
      <c r="D4" s="8" t="s">
        <v>1440</v>
      </c>
      <c r="E4" s="8" t="s">
        <v>11</v>
      </c>
      <c r="F4" s="49">
        <v>0.44444444444444442</v>
      </c>
      <c r="G4" s="47" t="s">
        <v>13</v>
      </c>
      <c r="H4" s="98" t="s">
        <v>1441</v>
      </c>
    </row>
    <row r="5" spans="1:8" x14ac:dyDescent="0.2">
      <c r="A5" s="377"/>
      <c r="B5" s="8" t="s">
        <v>14</v>
      </c>
      <c r="C5" s="8" t="s">
        <v>320</v>
      </c>
      <c r="D5" s="8" t="s">
        <v>785</v>
      </c>
      <c r="E5" s="8" t="s">
        <v>16</v>
      </c>
      <c r="F5" s="49">
        <v>0.39305555555555555</v>
      </c>
      <c r="G5" s="48" t="s">
        <v>18</v>
      </c>
      <c r="H5" s="98"/>
    </row>
    <row r="6" spans="1:8" x14ac:dyDescent="0.2">
      <c r="A6" s="377"/>
      <c r="B6" s="8" t="s">
        <v>20</v>
      </c>
      <c r="C6" s="10"/>
      <c r="D6" s="10"/>
      <c r="E6" s="8" t="s">
        <v>21</v>
      </c>
      <c r="F6" s="7"/>
      <c r="G6" s="10"/>
      <c r="H6" s="98"/>
    </row>
    <row r="7" spans="1:8" x14ac:dyDescent="0.2">
      <c r="A7" s="377"/>
      <c r="B7" s="8" t="s">
        <v>22</v>
      </c>
      <c r="C7" s="8" t="s">
        <v>305</v>
      </c>
      <c r="D7" s="8" t="s">
        <v>306</v>
      </c>
      <c r="E7" s="8" t="s">
        <v>24</v>
      </c>
      <c r="F7" s="49">
        <v>0.70138888888888884</v>
      </c>
      <c r="G7" s="48" t="s">
        <v>18</v>
      </c>
      <c r="H7" s="98"/>
    </row>
    <row r="8" spans="1:8" x14ac:dyDescent="0.2">
      <c r="A8" s="377"/>
      <c r="B8" s="8" t="s">
        <v>26</v>
      </c>
      <c r="C8" s="8" t="s">
        <v>1442</v>
      </c>
      <c r="D8" s="8" t="s">
        <v>310</v>
      </c>
      <c r="E8" s="8" t="s">
        <v>28</v>
      </c>
      <c r="F8" s="49">
        <v>0.63888888888888884</v>
      </c>
      <c r="G8" s="48" t="s">
        <v>18</v>
      </c>
      <c r="H8" s="98"/>
    </row>
    <row r="9" spans="1:8" x14ac:dyDescent="0.2">
      <c r="A9" s="377"/>
      <c r="B9" s="8" t="s">
        <v>26</v>
      </c>
      <c r="C9" s="8" t="s">
        <v>318</v>
      </c>
      <c r="D9" s="8" t="s">
        <v>789</v>
      </c>
      <c r="E9" s="8" t="s">
        <v>28</v>
      </c>
      <c r="F9" s="49">
        <v>0.63888888888888884</v>
      </c>
      <c r="G9" s="48" t="s">
        <v>18</v>
      </c>
      <c r="H9" s="98"/>
    </row>
    <row r="10" spans="1:8" x14ac:dyDescent="0.2">
      <c r="A10" s="377"/>
      <c r="B10" s="8" t="s">
        <v>26</v>
      </c>
      <c r="C10" s="8" t="s">
        <v>793</v>
      </c>
      <c r="D10" s="8" t="s">
        <v>1029</v>
      </c>
      <c r="E10" s="8" t="s">
        <v>28</v>
      </c>
      <c r="F10" s="49">
        <v>0.65</v>
      </c>
      <c r="G10" s="48" t="s">
        <v>18</v>
      </c>
      <c r="H10" s="98"/>
    </row>
    <row r="11" spans="1:8" x14ac:dyDescent="0.2">
      <c r="A11" s="377"/>
      <c r="B11" s="8" t="s">
        <v>1443</v>
      </c>
      <c r="C11" s="8" t="s">
        <v>550</v>
      </c>
      <c r="D11" s="8" t="s">
        <v>559</v>
      </c>
      <c r="E11" s="8" t="s">
        <v>28</v>
      </c>
      <c r="F11" s="49">
        <v>0.62430555555555556</v>
      </c>
      <c r="G11" s="48" t="s">
        <v>18</v>
      </c>
      <c r="H11" s="98"/>
    </row>
    <row r="12" spans="1:8" x14ac:dyDescent="0.2">
      <c r="A12" s="378"/>
      <c r="B12" s="8" t="s">
        <v>1443</v>
      </c>
      <c r="C12" s="8"/>
      <c r="D12" s="8"/>
      <c r="E12" s="8" t="s">
        <v>28</v>
      </c>
      <c r="F12" s="49"/>
      <c r="G12" s="78"/>
      <c r="H12" s="98"/>
    </row>
    <row r="13" spans="1:8" x14ac:dyDescent="0.2">
      <c r="A13" s="120"/>
    </row>
    <row r="14" spans="1:8" x14ac:dyDescent="0.2">
      <c r="A14" s="376">
        <v>46154</v>
      </c>
      <c r="B14" s="8" t="s">
        <v>315</v>
      </c>
      <c r="C14" s="8" t="s">
        <v>811</v>
      </c>
      <c r="D14" s="8" t="s">
        <v>1444</v>
      </c>
      <c r="E14" s="8" t="s">
        <v>11</v>
      </c>
      <c r="F14" s="49">
        <v>0.42708333333333331</v>
      </c>
      <c r="G14" s="47" t="s">
        <v>13</v>
      </c>
      <c r="H14" s="98" t="s">
        <v>1445</v>
      </c>
    </row>
    <row r="15" spans="1:8" x14ac:dyDescent="0.2">
      <c r="A15" s="377"/>
      <c r="B15" s="8" t="s">
        <v>315</v>
      </c>
      <c r="C15" s="8" t="s">
        <v>305</v>
      </c>
      <c r="D15" s="8" t="s">
        <v>306</v>
      </c>
      <c r="E15" s="8" t="s">
        <v>11</v>
      </c>
      <c r="F15" s="49">
        <v>0.38194444444444442</v>
      </c>
      <c r="G15" s="48" t="s">
        <v>18</v>
      </c>
      <c r="H15" s="98"/>
    </row>
    <row r="16" spans="1:8" x14ac:dyDescent="0.2">
      <c r="A16" s="377"/>
      <c r="B16" s="8" t="s">
        <v>14</v>
      </c>
      <c r="C16" s="8" t="s">
        <v>320</v>
      </c>
      <c r="D16" s="8" t="s">
        <v>321</v>
      </c>
      <c r="E16" s="8" t="s">
        <v>16</v>
      </c>
      <c r="F16" s="49">
        <v>0.5229166666666667</v>
      </c>
      <c r="G16" s="48" t="s">
        <v>18</v>
      </c>
      <c r="H16" s="98"/>
    </row>
    <row r="17" spans="1:8" x14ac:dyDescent="0.2">
      <c r="A17" s="377"/>
      <c r="B17" s="8" t="s">
        <v>20</v>
      </c>
      <c r="C17" s="10"/>
      <c r="D17" s="10"/>
      <c r="E17" s="8" t="s">
        <v>21</v>
      </c>
      <c r="F17" s="7"/>
      <c r="G17" s="10"/>
      <c r="H17" s="98"/>
    </row>
    <row r="18" spans="1:8" x14ac:dyDescent="0.2">
      <c r="A18" s="377"/>
      <c r="B18" s="8" t="s">
        <v>22</v>
      </c>
      <c r="C18" s="8" t="s">
        <v>305</v>
      </c>
      <c r="D18" s="8" t="s">
        <v>306</v>
      </c>
      <c r="E18" s="8" t="s">
        <v>24</v>
      </c>
      <c r="F18" s="49">
        <v>0.73055555555555551</v>
      </c>
      <c r="G18" s="47" t="s">
        <v>13</v>
      </c>
      <c r="H18" s="98" t="s">
        <v>1446</v>
      </c>
    </row>
    <row r="19" spans="1:8" x14ac:dyDescent="0.2">
      <c r="A19" s="377"/>
      <c r="B19" s="8" t="s">
        <v>26</v>
      </c>
      <c r="C19" s="8" t="s">
        <v>307</v>
      </c>
      <c r="D19" s="8" t="s">
        <v>308</v>
      </c>
      <c r="E19" s="8" t="s">
        <v>28</v>
      </c>
      <c r="F19" s="49">
        <v>0.63124999999999998</v>
      </c>
      <c r="G19" s="48" t="s">
        <v>18</v>
      </c>
      <c r="H19" s="98"/>
    </row>
    <row r="20" spans="1:8" x14ac:dyDescent="0.2">
      <c r="A20" s="377"/>
      <c r="B20" s="8" t="s">
        <v>26</v>
      </c>
      <c r="C20" s="8" t="s">
        <v>1447</v>
      </c>
      <c r="D20" s="8" t="s">
        <v>1448</v>
      </c>
      <c r="E20" s="8" t="s">
        <v>28</v>
      </c>
      <c r="F20" s="49">
        <v>0.65972222222222221</v>
      </c>
      <c r="G20" s="48" t="s">
        <v>18</v>
      </c>
      <c r="H20" s="98"/>
    </row>
    <row r="21" spans="1:8" x14ac:dyDescent="0.2">
      <c r="A21" s="377"/>
      <c r="B21" s="8" t="s">
        <v>26</v>
      </c>
      <c r="C21" s="8" t="s">
        <v>793</v>
      </c>
      <c r="D21" s="8" t="s">
        <v>1029</v>
      </c>
      <c r="E21" s="8" t="s">
        <v>28</v>
      </c>
      <c r="F21" s="49">
        <v>0.65972222222222221</v>
      </c>
      <c r="G21" s="48" t="s">
        <v>18</v>
      </c>
      <c r="H21" s="98"/>
    </row>
    <row r="22" spans="1:8" x14ac:dyDescent="0.2">
      <c r="A22" s="377"/>
      <c r="B22" s="8" t="s">
        <v>1443</v>
      </c>
      <c r="C22" s="8" t="s">
        <v>556</v>
      </c>
      <c r="D22" s="8" t="s">
        <v>1449</v>
      </c>
      <c r="E22" s="8" t="s">
        <v>28</v>
      </c>
      <c r="F22" s="49">
        <v>0.58402777777777781</v>
      </c>
      <c r="G22" s="48" t="s">
        <v>18</v>
      </c>
      <c r="H22" s="98"/>
    </row>
    <row r="23" spans="1:8" x14ac:dyDescent="0.2">
      <c r="A23" s="378"/>
      <c r="B23" s="8" t="s">
        <v>1443</v>
      </c>
      <c r="C23" s="8"/>
      <c r="D23" s="8"/>
      <c r="E23" s="8" t="s">
        <v>28</v>
      </c>
      <c r="F23" s="49"/>
      <c r="G23" s="79"/>
      <c r="H23" s="98"/>
    </row>
    <row r="24" spans="1:8" x14ac:dyDescent="0.2">
      <c r="A24" s="120"/>
    </row>
    <row r="25" spans="1:8" x14ac:dyDescent="0.2">
      <c r="A25" s="276">
        <v>46155</v>
      </c>
      <c r="B25" s="8" t="s">
        <v>9</v>
      </c>
      <c r="C25" s="8" t="s">
        <v>305</v>
      </c>
      <c r="D25" s="8" t="s">
        <v>306</v>
      </c>
      <c r="E25" s="8" t="s">
        <v>11</v>
      </c>
      <c r="F25" s="49">
        <v>0.38263888888888886</v>
      </c>
      <c r="G25" s="48" t="s">
        <v>18</v>
      </c>
      <c r="H25" s="98"/>
    </row>
    <row r="26" spans="1:8" x14ac:dyDescent="0.2">
      <c r="A26" s="276"/>
      <c r="B26" s="8" t="s">
        <v>14</v>
      </c>
      <c r="C26" s="8" t="s">
        <v>320</v>
      </c>
      <c r="D26" s="8" t="s">
        <v>321</v>
      </c>
      <c r="E26" s="8" t="s">
        <v>16</v>
      </c>
      <c r="F26" s="49">
        <v>0.54236111111111107</v>
      </c>
      <c r="G26" s="48" t="s">
        <v>18</v>
      </c>
      <c r="H26" s="98"/>
    </row>
    <row r="27" spans="1:8" x14ac:dyDescent="0.2">
      <c r="A27" s="276"/>
      <c r="B27" s="8" t="s">
        <v>20</v>
      </c>
      <c r="C27" s="8"/>
      <c r="D27" s="8"/>
      <c r="E27" s="8" t="s">
        <v>21</v>
      </c>
      <c r="F27" s="49"/>
      <c r="H27" s="98"/>
    </row>
    <row r="28" spans="1:8" x14ac:dyDescent="0.2">
      <c r="A28" s="276"/>
      <c r="B28" s="8" t="s">
        <v>22</v>
      </c>
      <c r="C28" s="8" t="s">
        <v>305</v>
      </c>
      <c r="D28" s="8" t="s">
        <v>306</v>
      </c>
      <c r="E28" s="8" t="s">
        <v>24</v>
      </c>
      <c r="F28" s="49">
        <v>0.69027777777777777</v>
      </c>
      <c r="G28" s="48" t="s">
        <v>18</v>
      </c>
      <c r="H28" s="98" t="s">
        <v>1446</v>
      </c>
    </row>
    <row r="29" spans="1:8" x14ac:dyDescent="0.2">
      <c r="A29" s="276"/>
      <c r="B29" s="8" t="s">
        <v>26</v>
      </c>
      <c r="C29" s="8" t="s">
        <v>1026</v>
      </c>
      <c r="D29" s="8" t="s">
        <v>569</v>
      </c>
      <c r="E29" s="8" t="s">
        <v>28</v>
      </c>
      <c r="F29" s="49"/>
      <c r="G29" s="78"/>
      <c r="H29" s="98"/>
    </row>
    <row r="30" spans="1:8" x14ac:dyDescent="0.2">
      <c r="A30" s="276"/>
      <c r="B30" s="8" t="s">
        <v>26</v>
      </c>
      <c r="C30" s="8" t="s">
        <v>793</v>
      </c>
      <c r="D30" s="8" t="s">
        <v>1029</v>
      </c>
      <c r="E30" s="8" t="s">
        <v>28</v>
      </c>
      <c r="F30" s="49">
        <v>0.6645833333333333</v>
      </c>
      <c r="G30" s="48" t="s">
        <v>18</v>
      </c>
      <c r="H30" s="98"/>
    </row>
    <row r="31" spans="1:8" x14ac:dyDescent="0.2">
      <c r="A31" s="276"/>
      <c r="B31" s="8" t="s">
        <v>26</v>
      </c>
      <c r="C31" s="8"/>
      <c r="D31" s="8"/>
      <c r="E31" s="8" t="s">
        <v>28</v>
      </c>
      <c r="F31" s="49"/>
      <c r="G31" s="79"/>
      <c r="H31" s="98"/>
    </row>
    <row r="32" spans="1:8" x14ac:dyDescent="0.2">
      <c r="A32" s="276"/>
      <c r="B32" s="8" t="s">
        <v>1443</v>
      </c>
      <c r="C32" s="8" t="s">
        <v>318</v>
      </c>
      <c r="D32" s="8" t="s">
        <v>789</v>
      </c>
      <c r="E32" s="8" t="s">
        <v>28</v>
      </c>
      <c r="F32" s="49">
        <v>0.68611111111111112</v>
      </c>
      <c r="G32" s="47" t="s">
        <v>13</v>
      </c>
      <c r="H32" s="153" t="s">
        <v>1450</v>
      </c>
    </row>
    <row r="33" spans="1:8" x14ac:dyDescent="0.2">
      <c r="A33" s="276"/>
      <c r="B33" s="8" t="s">
        <v>1443</v>
      </c>
      <c r="C33" s="8" t="s">
        <v>307</v>
      </c>
      <c r="D33" s="8" t="s">
        <v>308</v>
      </c>
      <c r="E33" s="8" t="s">
        <v>28</v>
      </c>
      <c r="F33" s="49">
        <v>0.66319444444444442</v>
      </c>
      <c r="G33" s="48" t="s">
        <v>18</v>
      </c>
      <c r="H33" s="153"/>
    </row>
    <row r="34" spans="1:8" x14ac:dyDescent="0.2">
      <c r="A34" s="120"/>
      <c r="H34" s="154"/>
    </row>
    <row r="35" spans="1:8" x14ac:dyDescent="0.2">
      <c r="A35" s="376">
        <v>46156</v>
      </c>
      <c r="B35" s="8" t="s">
        <v>9</v>
      </c>
      <c r="C35" s="8" t="s">
        <v>320</v>
      </c>
      <c r="D35" s="8" t="s">
        <v>1451</v>
      </c>
      <c r="E35" s="8" t="s">
        <v>11</v>
      </c>
      <c r="F35" s="49">
        <v>0.42916666666666664</v>
      </c>
      <c r="G35" s="47" t="s">
        <v>13</v>
      </c>
      <c r="H35" s="153" t="s">
        <v>1452</v>
      </c>
    </row>
    <row r="36" spans="1:8" x14ac:dyDescent="0.2">
      <c r="A36" s="377"/>
      <c r="B36" s="8" t="s">
        <v>9</v>
      </c>
      <c r="C36" s="8" t="s">
        <v>1026</v>
      </c>
      <c r="D36" s="8" t="s">
        <v>335</v>
      </c>
      <c r="E36" s="8" t="s">
        <v>11</v>
      </c>
      <c r="F36" s="49">
        <v>0.4548611111111111</v>
      </c>
      <c r="G36" s="47" t="s">
        <v>13</v>
      </c>
      <c r="H36" s="153" t="s">
        <v>1453</v>
      </c>
    </row>
    <row r="37" spans="1:8" x14ac:dyDescent="0.2">
      <c r="A37" s="377"/>
      <c r="B37" s="8" t="s">
        <v>14</v>
      </c>
      <c r="C37" s="8" t="s">
        <v>318</v>
      </c>
      <c r="D37" s="8" t="s">
        <v>1454</v>
      </c>
      <c r="E37" s="8" t="s">
        <v>16</v>
      </c>
      <c r="F37" s="49">
        <v>0.57291666666666663</v>
      </c>
      <c r="G37" s="47" t="s">
        <v>13</v>
      </c>
      <c r="H37" s="153" t="s">
        <v>1455</v>
      </c>
    </row>
    <row r="38" spans="1:8" x14ac:dyDescent="0.2">
      <c r="A38" s="377"/>
      <c r="B38" s="8" t="s">
        <v>20</v>
      </c>
      <c r="C38" s="8" t="s">
        <v>326</v>
      </c>
      <c r="D38" s="8" t="s">
        <v>322</v>
      </c>
      <c r="E38" s="8" t="s">
        <v>21</v>
      </c>
      <c r="F38" s="49">
        <v>0.68819444444444444</v>
      </c>
      <c r="G38" s="47" t="s">
        <v>13</v>
      </c>
      <c r="H38" s="153"/>
    </row>
    <row r="39" spans="1:8" x14ac:dyDescent="0.2">
      <c r="A39" s="377"/>
      <c r="B39" s="8" t="s">
        <v>22</v>
      </c>
      <c r="C39" s="8" t="s">
        <v>305</v>
      </c>
      <c r="D39" s="8" t="s">
        <v>306</v>
      </c>
      <c r="E39" s="8" t="s">
        <v>24</v>
      </c>
      <c r="F39" s="49">
        <v>0.67708333333333337</v>
      </c>
      <c r="G39" s="48" t="s">
        <v>18</v>
      </c>
      <c r="H39" s="153"/>
    </row>
    <row r="40" spans="1:8" x14ac:dyDescent="0.2">
      <c r="A40" s="377"/>
      <c r="B40" s="8" t="s">
        <v>26</v>
      </c>
      <c r="C40" s="8" t="s">
        <v>563</v>
      </c>
      <c r="D40" s="8" t="s">
        <v>792</v>
      </c>
      <c r="E40" s="8" t="s">
        <v>28</v>
      </c>
      <c r="F40" s="49">
        <v>0.69166666666666665</v>
      </c>
      <c r="G40" s="47" t="s">
        <v>13</v>
      </c>
      <c r="H40" s="153" t="s">
        <v>1456</v>
      </c>
    </row>
    <row r="41" spans="1:8" x14ac:dyDescent="0.2">
      <c r="A41" s="377"/>
      <c r="B41" s="8" t="s">
        <v>26</v>
      </c>
      <c r="C41" s="8" t="s">
        <v>565</v>
      </c>
      <c r="D41" s="8" t="s">
        <v>1037</v>
      </c>
      <c r="E41" s="8" t="s">
        <v>28</v>
      </c>
      <c r="F41" s="49">
        <v>0.66736111111111107</v>
      </c>
      <c r="G41" s="48" t="s">
        <v>18</v>
      </c>
      <c r="H41" s="153"/>
    </row>
    <row r="42" spans="1:8" x14ac:dyDescent="0.2">
      <c r="A42" s="377"/>
      <c r="B42" s="8" t="s">
        <v>26</v>
      </c>
      <c r="C42" s="8" t="s">
        <v>793</v>
      </c>
      <c r="D42" s="8" t="s">
        <v>1029</v>
      </c>
      <c r="E42" s="8" t="s">
        <v>28</v>
      </c>
      <c r="F42" s="49">
        <v>0.65</v>
      </c>
      <c r="G42" s="48" t="s">
        <v>18</v>
      </c>
      <c r="H42" s="153"/>
    </row>
    <row r="43" spans="1:8" x14ac:dyDescent="0.2">
      <c r="A43" s="377"/>
      <c r="B43" s="8" t="s">
        <v>26</v>
      </c>
      <c r="C43" s="8"/>
      <c r="D43" s="8"/>
      <c r="E43" s="8" t="s">
        <v>28</v>
      </c>
      <c r="F43" s="7"/>
      <c r="G43" s="8"/>
      <c r="H43" s="153"/>
    </row>
    <row r="44" spans="1:8" x14ac:dyDescent="0.2">
      <c r="A44" s="377"/>
      <c r="B44" s="8" t="s">
        <v>1443</v>
      </c>
      <c r="C44" s="8" t="s">
        <v>1035</v>
      </c>
      <c r="D44" s="8" t="s">
        <v>1457</v>
      </c>
      <c r="E44" s="8" t="s">
        <v>28</v>
      </c>
      <c r="F44" s="49">
        <v>0.71458333333333335</v>
      </c>
      <c r="G44" s="47" t="s">
        <v>13</v>
      </c>
      <c r="H44" s="153" t="s">
        <v>1458</v>
      </c>
    </row>
    <row r="45" spans="1:8" x14ac:dyDescent="0.2">
      <c r="A45" s="378"/>
      <c r="B45" s="8" t="s">
        <v>1443</v>
      </c>
      <c r="C45" s="8"/>
      <c r="D45" s="8"/>
      <c r="E45" s="8" t="s">
        <v>28</v>
      </c>
      <c r="F45" s="7"/>
      <c r="G45" s="8"/>
      <c r="H45" s="153"/>
    </row>
    <row r="46" spans="1:8" x14ac:dyDescent="0.2">
      <c r="A46" s="120"/>
      <c r="H46" s="154"/>
    </row>
    <row r="47" spans="1:8" x14ac:dyDescent="0.2">
      <c r="A47" s="376">
        <v>46157</v>
      </c>
      <c r="B47" s="8" t="s">
        <v>9</v>
      </c>
      <c r="C47" s="8" t="s">
        <v>326</v>
      </c>
      <c r="D47" s="8" t="s">
        <v>795</v>
      </c>
      <c r="E47" s="8" t="s">
        <v>11</v>
      </c>
      <c r="F47" s="49">
        <v>0.40625</v>
      </c>
      <c r="G47" s="48" t="s">
        <v>18</v>
      </c>
      <c r="H47" s="153"/>
    </row>
    <row r="48" spans="1:8" x14ac:dyDescent="0.2">
      <c r="A48" s="377"/>
      <c r="B48" s="8" t="s">
        <v>14</v>
      </c>
      <c r="C48" s="8" t="s">
        <v>320</v>
      </c>
      <c r="D48" s="8" t="s">
        <v>321</v>
      </c>
      <c r="E48" s="8" t="s">
        <v>16</v>
      </c>
      <c r="F48" s="49">
        <v>0.54166666666666663</v>
      </c>
      <c r="G48" s="48" t="s">
        <v>18</v>
      </c>
      <c r="H48" s="153"/>
    </row>
    <row r="49" spans="1:8" x14ac:dyDescent="0.2">
      <c r="A49" s="377"/>
      <c r="B49" s="8" t="s">
        <v>20</v>
      </c>
      <c r="C49" s="8"/>
      <c r="D49" s="8"/>
      <c r="E49" s="8" t="s">
        <v>21</v>
      </c>
      <c r="F49" s="49"/>
      <c r="G49" s="79"/>
      <c r="H49" s="153"/>
    </row>
    <row r="50" spans="1:8" x14ac:dyDescent="0.2">
      <c r="A50" s="377"/>
      <c r="B50" s="8" t="s">
        <v>22</v>
      </c>
      <c r="C50" s="8" t="s">
        <v>305</v>
      </c>
      <c r="D50" s="8" t="s">
        <v>306</v>
      </c>
      <c r="E50" s="8" t="s">
        <v>24</v>
      </c>
      <c r="F50" s="49">
        <v>0.70833333333333337</v>
      </c>
      <c r="G50" s="48" t="s">
        <v>18</v>
      </c>
      <c r="H50" s="153"/>
    </row>
    <row r="51" spans="1:8" x14ac:dyDescent="0.2">
      <c r="A51" s="377"/>
      <c r="B51" s="8" t="s">
        <v>26</v>
      </c>
      <c r="C51" s="8" t="s">
        <v>318</v>
      </c>
      <c r="D51" s="8" t="s">
        <v>789</v>
      </c>
      <c r="E51" s="8" t="s">
        <v>28</v>
      </c>
      <c r="F51" s="49">
        <v>0.70208333333333328</v>
      </c>
      <c r="G51" s="47" t="s">
        <v>13</v>
      </c>
      <c r="H51" s="153" t="s">
        <v>1459</v>
      </c>
    </row>
    <row r="52" spans="1:8" x14ac:dyDescent="0.2">
      <c r="A52" s="377"/>
      <c r="B52" s="8" t="s">
        <v>26</v>
      </c>
      <c r="C52" s="8" t="s">
        <v>327</v>
      </c>
      <c r="D52" s="8" t="s">
        <v>1227</v>
      </c>
      <c r="E52" s="8" t="s">
        <v>28</v>
      </c>
      <c r="F52" s="49">
        <v>0.60069444444444442</v>
      </c>
      <c r="G52" s="48" t="s">
        <v>18</v>
      </c>
      <c r="H52" s="153"/>
    </row>
    <row r="53" spans="1:8" x14ac:dyDescent="0.2">
      <c r="A53" s="377"/>
      <c r="B53" s="8" t="s">
        <v>26</v>
      </c>
      <c r="C53" s="8" t="s">
        <v>793</v>
      </c>
      <c r="D53" s="8" t="s">
        <v>1029</v>
      </c>
      <c r="E53" s="8" t="s">
        <v>28</v>
      </c>
      <c r="F53" s="49">
        <v>0.65555555555555556</v>
      </c>
      <c r="G53" s="48" t="s">
        <v>18</v>
      </c>
      <c r="H53" s="153"/>
    </row>
    <row r="54" spans="1:8" x14ac:dyDescent="0.2">
      <c r="A54" s="377"/>
      <c r="B54" s="8" t="s">
        <v>26</v>
      </c>
      <c r="C54" s="8"/>
      <c r="D54" s="8"/>
      <c r="E54" s="8" t="s">
        <v>28</v>
      </c>
      <c r="F54" s="7"/>
      <c r="G54" s="10"/>
      <c r="H54" s="153"/>
    </row>
    <row r="55" spans="1:8" x14ac:dyDescent="0.2">
      <c r="A55" s="377"/>
      <c r="B55" s="8" t="s">
        <v>1443</v>
      </c>
      <c r="C55" s="8" t="s">
        <v>550</v>
      </c>
      <c r="D55" s="8" t="s">
        <v>559</v>
      </c>
      <c r="E55" s="8" t="s">
        <v>28</v>
      </c>
      <c r="F55" s="49">
        <v>0.60486111111111107</v>
      </c>
      <c r="G55" s="48" t="s">
        <v>18</v>
      </c>
      <c r="H55" s="153"/>
    </row>
    <row r="56" spans="1:8" x14ac:dyDescent="0.2">
      <c r="A56" s="378"/>
      <c r="B56" s="8" t="s">
        <v>1443</v>
      </c>
      <c r="C56" s="8"/>
      <c r="D56" s="8"/>
      <c r="E56" s="8" t="s">
        <v>28</v>
      </c>
      <c r="F56" s="7"/>
      <c r="G56" s="10"/>
      <c r="H56" s="153"/>
    </row>
    <row r="58" spans="1:8" x14ac:dyDescent="0.2">
      <c r="A58" s="10" t="s">
        <v>1228</v>
      </c>
      <c r="B58" s="374">
        <v>37</v>
      </c>
      <c r="C58" s="375"/>
    </row>
    <row r="59" spans="1:8" x14ac:dyDescent="0.2">
      <c r="A59" s="10" t="s">
        <v>1229</v>
      </c>
      <c r="B59" s="8">
        <v>26</v>
      </c>
      <c r="C59" s="142">
        <f>B59/B58</f>
        <v>0.70270270270270274</v>
      </c>
    </row>
    <row r="60" spans="1:8" x14ac:dyDescent="0.2">
      <c r="A60" s="10" t="s">
        <v>1230</v>
      </c>
      <c r="B60" s="155">
        <v>11</v>
      </c>
      <c r="C60" s="156">
        <f>B60/B58</f>
        <v>0.29729729729729731</v>
      </c>
    </row>
    <row r="61" spans="1:8" x14ac:dyDescent="0.2">
      <c r="B61" s="141"/>
    </row>
  </sheetData>
  <autoFilter ref="A3:H12" xr:uid="{007222C0-65E8-4432-AB3E-97A35AC12FA3}"/>
  <mergeCells count="6">
    <mergeCell ref="B58:C58"/>
    <mergeCell ref="A4:A12"/>
    <mergeCell ref="A25:A33"/>
    <mergeCell ref="A35:A45"/>
    <mergeCell ref="A47:A56"/>
    <mergeCell ref="A14:A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D8AB-8604-4914-8858-D0CD8E8BFADF}">
  <dimension ref="A1:O103"/>
  <sheetViews>
    <sheetView topLeftCell="E61" workbookViewId="0">
      <selection activeCell="D50" sqref="D50"/>
    </sheetView>
  </sheetViews>
  <sheetFormatPr defaultRowHeight="15" x14ac:dyDescent="0.2"/>
  <cols>
    <col min="1" max="1" width="24.07812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7.75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79">
        <v>46153</v>
      </c>
      <c r="B7" s="51" t="s">
        <v>1460</v>
      </c>
      <c r="C7" s="51" t="s">
        <v>1461</v>
      </c>
      <c r="D7" s="51" t="s">
        <v>1461</v>
      </c>
      <c r="E7" s="53"/>
      <c r="F7" s="53"/>
      <c r="G7" s="53"/>
      <c r="H7" s="74" t="s">
        <v>1462</v>
      </c>
      <c r="I7" s="74" t="s">
        <v>1463</v>
      </c>
      <c r="J7" s="74" t="s">
        <v>1463</v>
      </c>
      <c r="K7" s="277" t="s">
        <v>1250</v>
      </c>
      <c r="L7" s="277"/>
    </row>
    <row r="8" spans="1:12" ht="65.099999999999994" customHeight="1" x14ac:dyDescent="0.2">
      <c r="A8" s="379"/>
      <c r="B8" s="9" t="s">
        <v>1464</v>
      </c>
      <c r="C8" s="9">
        <v>8260099599</v>
      </c>
      <c r="D8" s="9">
        <v>8260099600</v>
      </c>
      <c r="E8" s="9"/>
      <c r="F8" s="9"/>
      <c r="G8" s="9"/>
      <c r="H8" s="9">
        <v>8260099664</v>
      </c>
      <c r="I8" s="9">
        <v>8260099663</v>
      </c>
      <c r="J8" s="9">
        <v>8260099662</v>
      </c>
      <c r="K8" s="277"/>
      <c r="L8" s="277"/>
    </row>
    <row r="9" spans="1:12" x14ac:dyDescent="0.2">
      <c r="A9" s="276">
        <v>46154</v>
      </c>
      <c r="B9" s="53" t="s">
        <v>1465</v>
      </c>
      <c r="C9" s="53" t="s">
        <v>1466</v>
      </c>
      <c r="D9" s="53" t="s">
        <v>1466</v>
      </c>
      <c r="E9" s="53" t="s">
        <v>1467</v>
      </c>
      <c r="F9" s="53" t="s">
        <v>1468</v>
      </c>
      <c r="G9" s="53"/>
      <c r="H9" s="74" t="s">
        <v>1469</v>
      </c>
      <c r="I9" s="74" t="s">
        <v>1470</v>
      </c>
      <c r="J9" s="74" t="s">
        <v>1470</v>
      </c>
      <c r="K9" s="372"/>
      <c r="L9" s="372"/>
    </row>
    <row r="10" spans="1:12" ht="68.25" x14ac:dyDescent="0.2">
      <c r="A10" s="276"/>
      <c r="B10" s="9" t="s">
        <v>1471</v>
      </c>
      <c r="C10" s="9">
        <v>8260099674</v>
      </c>
      <c r="D10" s="9" t="s">
        <v>1472</v>
      </c>
      <c r="E10" s="9" t="s">
        <v>1473</v>
      </c>
      <c r="F10" s="9" t="s">
        <v>1474</v>
      </c>
      <c r="G10" s="9"/>
      <c r="H10" s="9">
        <v>8260099735</v>
      </c>
      <c r="I10" s="9">
        <v>8260099737</v>
      </c>
      <c r="J10" s="9">
        <v>8260099736</v>
      </c>
      <c r="K10" s="372"/>
      <c r="L10" s="372"/>
    </row>
    <row r="11" spans="1:12" ht="15" customHeight="1" x14ac:dyDescent="0.2">
      <c r="A11" s="276">
        <v>46155</v>
      </c>
      <c r="B11" s="53" t="s">
        <v>1475</v>
      </c>
      <c r="C11" s="53" t="s">
        <v>1476</v>
      </c>
      <c r="D11" s="53" t="s">
        <v>1476</v>
      </c>
      <c r="E11" s="53"/>
      <c r="F11" s="53"/>
      <c r="G11" s="53"/>
      <c r="H11" s="74" t="s">
        <v>1477</v>
      </c>
      <c r="I11" s="56" t="s">
        <v>1478</v>
      </c>
      <c r="J11" s="56" t="s">
        <v>1478</v>
      </c>
      <c r="K11" s="278"/>
      <c r="L11" s="278"/>
    </row>
    <row r="12" spans="1:12" ht="65.099999999999994" customHeight="1" x14ac:dyDescent="0.2">
      <c r="A12" s="276"/>
      <c r="B12" s="9" t="s">
        <v>1479</v>
      </c>
      <c r="C12" s="9" t="s">
        <v>1480</v>
      </c>
      <c r="D12" s="9" t="s">
        <v>1481</v>
      </c>
      <c r="E12" s="9"/>
      <c r="F12" s="9"/>
      <c r="G12" s="9"/>
      <c r="H12" s="9">
        <v>8260099828</v>
      </c>
      <c r="I12" s="9">
        <v>8260099829</v>
      </c>
      <c r="J12" s="9">
        <v>8260099830</v>
      </c>
      <c r="K12" s="278"/>
      <c r="L12" s="278"/>
    </row>
    <row r="13" spans="1:12" x14ac:dyDescent="0.2">
      <c r="A13" s="276">
        <v>46156</v>
      </c>
      <c r="B13" s="51" t="s">
        <v>1482</v>
      </c>
      <c r="C13" s="51" t="s">
        <v>1483</v>
      </c>
      <c r="D13" s="51" t="s">
        <v>1483</v>
      </c>
      <c r="E13" s="53" t="s">
        <v>1484</v>
      </c>
      <c r="F13" s="53" t="s">
        <v>1485</v>
      </c>
      <c r="G13" s="53"/>
      <c r="H13" s="56" t="s">
        <v>1486</v>
      </c>
      <c r="I13" s="56" t="s">
        <v>1487</v>
      </c>
      <c r="J13" s="56" t="s">
        <v>1487</v>
      </c>
      <c r="K13" s="278" t="s">
        <v>1250</v>
      </c>
      <c r="L13" s="278"/>
    </row>
    <row r="14" spans="1:12" ht="68.25" x14ac:dyDescent="0.2">
      <c r="A14" s="276"/>
      <c r="B14" s="9" t="s">
        <v>1488</v>
      </c>
      <c r="C14" s="9" t="s">
        <v>1489</v>
      </c>
      <c r="D14" s="9" t="s">
        <v>1490</v>
      </c>
      <c r="E14" s="9" t="s">
        <v>1491</v>
      </c>
      <c r="F14" s="7">
        <v>8260099849</v>
      </c>
      <c r="G14" s="7"/>
      <c r="H14" s="7">
        <v>8260099909</v>
      </c>
      <c r="I14" s="9" t="s">
        <v>1492</v>
      </c>
      <c r="J14" s="7">
        <v>8260099908</v>
      </c>
      <c r="K14" s="278"/>
      <c r="L14" s="278"/>
    </row>
    <row r="15" spans="1:12" ht="15" customHeight="1" x14ac:dyDescent="0.2">
      <c r="A15" s="276">
        <v>46157</v>
      </c>
      <c r="B15" s="51" t="s">
        <v>1493</v>
      </c>
      <c r="C15" s="51" t="s">
        <v>1494</v>
      </c>
      <c r="D15" s="51" t="s">
        <v>1494</v>
      </c>
      <c r="E15" s="53"/>
      <c r="F15" s="53"/>
      <c r="G15" s="53"/>
      <c r="H15" s="56" t="s">
        <v>1495</v>
      </c>
      <c r="I15" s="56" t="s">
        <v>1496</v>
      </c>
      <c r="J15" s="56" t="s">
        <v>1496</v>
      </c>
      <c r="K15" s="278" t="s">
        <v>1250</v>
      </c>
      <c r="L15" s="278"/>
    </row>
    <row r="16" spans="1:12" ht="68.25" x14ac:dyDescent="0.2">
      <c r="A16" s="276"/>
      <c r="B16" s="9" t="s">
        <v>1497</v>
      </c>
      <c r="C16" s="9">
        <v>8260099920</v>
      </c>
      <c r="D16" s="9">
        <v>8260099922</v>
      </c>
      <c r="E16" s="9"/>
      <c r="F16" s="9"/>
      <c r="G16" s="9"/>
      <c r="H16" s="7">
        <v>8260099982</v>
      </c>
      <c r="I16" s="9">
        <v>8260099981</v>
      </c>
      <c r="J16" s="7">
        <v>8260099980</v>
      </c>
      <c r="K16" s="278"/>
      <c r="L16" s="278"/>
    </row>
    <row r="17" spans="1:12" x14ac:dyDescent="0.2">
      <c r="A17" s="157" t="s">
        <v>1274</v>
      </c>
      <c r="B17" s="143">
        <v>5</v>
      </c>
      <c r="C17" s="143">
        <v>5</v>
      </c>
      <c r="D17" s="143">
        <v>5</v>
      </c>
      <c r="E17" s="143">
        <v>2</v>
      </c>
      <c r="F17" s="143">
        <v>2</v>
      </c>
      <c r="G17" s="143">
        <v>0</v>
      </c>
      <c r="H17" s="3">
        <v>5</v>
      </c>
      <c r="I17" s="143">
        <v>5</v>
      </c>
      <c r="J17" s="3">
        <v>5</v>
      </c>
      <c r="K17" s="149">
        <f>SUM(B17:J17)</f>
        <v>34</v>
      </c>
      <c r="L17" s="144"/>
    </row>
    <row r="18" spans="1:12" x14ac:dyDescent="0.2">
      <c r="A18" s="157" t="s">
        <v>1275</v>
      </c>
      <c r="B18" s="143">
        <v>2</v>
      </c>
      <c r="C18" s="143">
        <v>2</v>
      </c>
      <c r="D18" s="143">
        <v>2</v>
      </c>
      <c r="E18" s="143">
        <v>2</v>
      </c>
      <c r="F18" s="143">
        <v>2</v>
      </c>
      <c r="G18" s="143">
        <v>0</v>
      </c>
      <c r="H18" s="3">
        <v>5</v>
      </c>
      <c r="I18" s="143">
        <v>5</v>
      </c>
      <c r="J18" s="3">
        <v>5</v>
      </c>
      <c r="K18" s="149">
        <f t="shared" ref="K18:K19" si="0">SUM(B18:J18)</f>
        <v>25</v>
      </c>
      <c r="L18" s="144"/>
    </row>
    <row r="19" spans="1:12" x14ac:dyDescent="0.2">
      <c r="A19" s="158" t="s">
        <v>1276</v>
      </c>
      <c r="B19" s="148">
        <v>3</v>
      </c>
      <c r="C19" s="148">
        <v>3</v>
      </c>
      <c r="D19" s="148">
        <v>3</v>
      </c>
      <c r="E19" s="148">
        <v>0</v>
      </c>
      <c r="F19" s="148">
        <v>0</v>
      </c>
      <c r="G19" s="148">
        <v>0</v>
      </c>
      <c r="H19" s="147">
        <v>0</v>
      </c>
      <c r="I19" s="146">
        <v>0</v>
      </c>
      <c r="J19" s="147">
        <v>0</v>
      </c>
      <c r="K19" s="150">
        <f t="shared" si="0"/>
        <v>9</v>
      </c>
    </row>
    <row r="20" spans="1:12" x14ac:dyDescent="0.2">
      <c r="C20" s="2"/>
      <c r="D20" s="2"/>
      <c r="E20" s="2"/>
      <c r="F20" s="2"/>
      <c r="G20" s="2"/>
    </row>
    <row r="21" spans="1:12" ht="15" customHeight="1" x14ac:dyDescent="0.2">
      <c r="A21" s="280" t="s">
        <v>34</v>
      </c>
      <c r="B21" s="286" t="s">
        <v>379</v>
      </c>
      <c r="C21" s="286" t="s">
        <v>83</v>
      </c>
      <c r="D21" s="286" t="s">
        <v>84</v>
      </c>
      <c r="E21" s="287" t="s">
        <v>8</v>
      </c>
      <c r="F21" s="287"/>
      <c r="G21" s="288"/>
    </row>
    <row r="22" spans="1:12" x14ac:dyDescent="0.2">
      <c r="A22" s="280"/>
      <c r="B22" s="286"/>
      <c r="C22" s="286"/>
      <c r="D22" s="286"/>
      <c r="E22" s="289"/>
      <c r="F22" s="289"/>
      <c r="G22" s="290"/>
    </row>
    <row r="23" spans="1:12" x14ac:dyDescent="0.2">
      <c r="A23" s="280"/>
      <c r="B23" s="14" t="s">
        <v>380</v>
      </c>
      <c r="C23" s="15" t="s">
        <v>381</v>
      </c>
      <c r="D23" s="15" t="s">
        <v>382</v>
      </c>
      <c r="E23" s="130"/>
      <c r="F23" s="130"/>
      <c r="G23" s="131"/>
    </row>
    <row r="24" spans="1:12" s="6" customFormat="1" x14ac:dyDescent="0.2">
      <c r="A24" s="379">
        <v>46153</v>
      </c>
      <c r="B24" s="74" t="s">
        <v>1498</v>
      </c>
      <c r="C24" s="53"/>
      <c r="D24" s="53"/>
      <c r="E24" s="132"/>
      <c r="F24" s="132"/>
      <c r="G24" s="133"/>
    </row>
    <row r="25" spans="1:12" s="6" customFormat="1" ht="68.25" x14ac:dyDescent="0.2">
      <c r="A25" s="379"/>
      <c r="B25" s="9" t="s">
        <v>1499</v>
      </c>
      <c r="C25" s="9"/>
      <c r="D25" s="7"/>
      <c r="E25" s="122"/>
      <c r="F25" s="122"/>
      <c r="G25" s="125"/>
      <c r="I25" s="110"/>
      <c r="J25" s="110"/>
    </row>
    <row r="26" spans="1:12" s="6" customFormat="1" x14ac:dyDescent="0.2">
      <c r="A26" s="276">
        <v>46154</v>
      </c>
      <c r="B26" s="53" t="s">
        <v>1500</v>
      </c>
      <c r="C26" s="11"/>
      <c r="D26" s="11"/>
      <c r="E26" s="134"/>
      <c r="F26" s="134"/>
      <c r="G26" s="135"/>
    </row>
    <row r="27" spans="1:12" s="6" customFormat="1" ht="94.5" x14ac:dyDescent="0.2">
      <c r="A27" s="276"/>
      <c r="B27" s="9" t="s">
        <v>1501</v>
      </c>
      <c r="C27" s="7"/>
      <c r="D27" s="7"/>
      <c r="E27" s="123"/>
      <c r="F27" s="123"/>
      <c r="G27" s="126"/>
    </row>
    <row r="28" spans="1:12" s="6" customFormat="1" x14ac:dyDescent="0.2">
      <c r="A28" s="276">
        <v>46155</v>
      </c>
      <c r="B28" s="53" t="s">
        <v>1502</v>
      </c>
      <c r="C28" s="11"/>
      <c r="D28" s="53"/>
      <c r="E28" s="137"/>
      <c r="F28" s="138"/>
      <c r="G28" s="139"/>
    </row>
    <row r="29" spans="1:12" s="6" customFormat="1" ht="81" x14ac:dyDescent="0.2">
      <c r="A29" s="276"/>
      <c r="B29" s="9" t="s">
        <v>1503</v>
      </c>
      <c r="C29" s="7"/>
      <c r="D29" s="7"/>
      <c r="E29" s="140"/>
      <c r="F29" s="128"/>
      <c r="G29" s="129"/>
    </row>
    <row r="30" spans="1:12" s="6" customFormat="1" x14ac:dyDescent="0.2">
      <c r="A30" s="276">
        <v>46156</v>
      </c>
      <c r="B30" s="56" t="s">
        <v>1504</v>
      </c>
      <c r="C30" s="53" t="s">
        <v>1505</v>
      </c>
      <c r="D30" s="11"/>
      <c r="E30" s="380"/>
      <c r="F30" s="381"/>
      <c r="G30" s="382"/>
    </row>
    <row r="31" spans="1:12" s="6" customFormat="1" ht="65.099999999999994" customHeight="1" x14ac:dyDescent="0.2">
      <c r="A31" s="276"/>
      <c r="B31" s="121" t="s">
        <v>1506</v>
      </c>
      <c r="C31" s="9" t="s">
        <v>1507</v>
      </c>
      <c r="D31" s="7"/>
      <c r="E31" s="383"/>
      <c r="F31" s="384"/>
      <c r="G31" s="385"/>
    </row>
    <row r="32" spans="1:12" s="6" customFormat="1" x14ac:dyDescent="0.2">
      <c r="A32" s="276">
        <v>46157</v>
      </c>
      <c r="B32" s="74" t="s">
        <v>1508</v>
      </c>
      <c r="C32" s="56"/>
      <c r="D32" s="53"/>
      <c r="E32" s="124"/>
      <c r="F32" s="124"/>
      <c r="G32" s="127"/>
    </row>
    <row r="33" spans="1:12" s="6" customFormat="1" ht="81" x14ac:dyDescent="0.2">
      <c r="A33" s="276"/>
      <c r="B33" s="9" t="s">
        <v>1509</v>
      </c>
      <c r="C33" s="7"/>
      <c r="D33" s="7"/>
      <c r="E33" s="128"/>
      <c r="F33" s="128"/>
      <c r="G33" s="129"/>
    </row>
    <row r="34" spans="1:12" s="6" customFormat="1" x14ac:dyDescent="0.2">
      <c r="A34" s="157" t="s">
        <v>1274</v>
      </c>
      <c r="B34" s="143">
        <v>5</v>
      </c>
      <c r="C34" s="3">
        <v>1</v>
      </c>
      <c r="D34" s="3"/>
      <c r="E34" s="149">
        <f>SUM(B34:D34)</f>
        <v>6</v>
      </c>
      <c r="F34" s="108"/>
      <c r="G34" s="108"/>
    </row>
    <row r="35" spans="1:12" s="6" customFormat="1" x14ac:dyDescent="0.2">
      <c r="A35" s="157" t="s">
        <v>1275</v>
      </c>
      <c r="B35" s="143">
        <v>5</v>
      </c>
      <c r="C35" s="3">
        <v>1</v>
      </c>
      <c r="D35" s="3"/>
      <c r="E35" s="149">
        <f t="shared" ref="E35:E36" si="1">SUM(B35:D35)</f>
        <v>6</v>
      </c>
      <c r="F35" s="108"/>
      <c r="G35" s="108"/>
    </row>
    <row r="36" spans="1:12" s="6" customFormat="1" x14ac:dyDescent="0.2">
      <c r="A36" s="158" t="s">
        <v>1276</v>
      </c>
      <c r="B36" s="146">
        <v>0</v>
      </c>
      <c r="C36" s="147">
        <v>0</v>
      </c>
      <c r="D36" s="3"/>
      <c r="E36" s="150">
        <f t="shared" si="1"/>
        <v>0</v>
      </c>
      <c r="F36" s="108"/>
      <c r="G36" s="108"/>
    </row>
    <row r="37" spans="1:12" x14ac:dyDescent="0.2">
      <c r="C37" s="2"/>
      <c r="D37" s="2"/>
      <c r="E37" s="2"/>
      <c r="F37" s="2"/>
      <c r="G37" s="2"/>
    </row>
    <row r="38" spans="1:12" x14ac:dyDescent="0.2">
      <c r="A38" s="279" t="s">
        <v>96</v>
      </c>
      <c r="B38" s="279"/>
      <c r="C38" s="279"/>
      <c r="D38" s="279"/>
      <c r="E38" s="279"/>
      <c r="F38" s="279"/>
      <c r="G38" s="279"/>
      <c r="H38" s="279"/>
      <c r="I38" s="279"/>
      <c r="J38" s="279"/>
      <c r="K38" s="38"/>
      <c r="L38" s="38"/>
    </row>
    <row r="39" spans="1:12" ht="27.75" x14ac:dyDescent="0.2">
      <c r="A39" s="280" t="s">
        <v>34</v>
      </c>
      <c r="B39" s="4" t="s">
        <v>97</v>
      </c>
      <c r="C39" s="5" t="s">
        <v>98</v>
      </c>
      <c r="D39" s="5" t="s">
        <v>99</v>
      </c>
      <c r="E39" s="5" t="s">
        <v>100</v>
      </c>
      <c r="F39" s="5" t="s">
        <v>101</v>
      </c>
      <c r="G39" s="5" t="s">
        <v>102</v>
      </c>
      <c r="H39" s="291" t="s">
        <v>8</v>
      </c>
      <c r="I39" s="291"/>
      <c r="J39" s="291"/>
    </row>
    <row r="40" spans="1:12" x14ac:dyDescent="0.2">
      <c r="A40" s="280"/>
      <c r="B40" s="14" t="s">
        <v>103</v>
      </c>
      <c r="C40" s="15" t="s">
        <v>104</v>
      </c>
      <c r="D40" s="15" t="s">
        <v>42</v>
      </c>
      <c r="E40" s="15" t="s">
        <v>105</v>
      </c>
      <c r="F40" s="15" t="s">
        <v>106</v>
      </c>
      <c r="G40" s="15" t="s">
        <v>107</v>
      </c>
      <c r="H40" s="291"/>
      <c r="I40" s="291"/>
      <c r="J40" s="291"/>
    </row>
    <row r="41" spans="1:12" x14ac:dyDescent="0.2">
      <c r="A41" s="379">
        <v>46153</v>
      </c>
      <c r="B41" s="17" t="s">
        <v>1510</v>
      </c>
      <c r="C41" s="61" t="s">
        <v>1511</v>
      </c>
      <c r="D41" s="61" t="s">
        <v>1512</v>
      </c>
      <c r="E41" s="61" t="s">
        <v>1513</v>
      </c>
      <c r="F41" s="61" t="s">
        <v>1514</v>
      </c>
      <c r="G41" s="61"/>
      <c r="H41" s="278" t="s">
        <v>1515</v>
      </c>
      <c r="I41" s="278"/>
      <c r="J41" s="278"/>
    </row>
    <row r="42" spans="1:12" ht="45" customHeight="1" x14ac:dyDescent="0.2">
      <c r="A42" s="379"/>
      <c r="B42" s="9">
        <v>8260099652</v>
      </c>
      <c r="C42" s="9" t="s">
        <v>1516</v>
      </c>
      <c r="D42" s="9">
        <v>8260099648</v>
      </c>
      <c r="E42" s="9">
        <v>8260099631</v>
      </c>
      <c r="F42" s="9" t="s">
        <v>1517</v>
      </c>
      <c r="G42" s="9"/>
      <c r="H42" s="278"/>
      <c r="I42" s="278"/>
      <c r="J42" s="278"/>
    </row>
    <row r="43" spans="1:12" x14ac:dyDescent="0.2">
      <c r="A43" s="276">
        <v>46154</v>
      </c>
      <c r="B43" s="17" t="s">
        <v>1518</v>
      </c>
      <c r="C43" s="61" t="s">
        <v>1519</v>
      </c>
      <c r="D43" s="61" t="s">
        <v>1520</v>
      </c>
      <c r="E43" s="61" t="s">
        <v>1521</v>
      </c>
      <c r="F43" s="61" t="s">
        <v>1519</v>
      </c>
      <c r="G43" s="61" t="s">
        <v>1522</v>
      </c>
      <c r="H43" s="319" t="s">
        <v>1523</v>
      </c>
      <c r="I43" s="319"/>
      <c r="J43" s="319"/>
    </row>
    <row r="44" spans="1:12" ht="45" customHeight="1" x14ac:dyDescent="0.2">
      <c r="A44" s="276"/>
      <c r="B44" s="9">
        <v>8260099709</v>
      </c>
      <c r="C44" s="121" t="s">
        <v>1524</v>
      </c>
      <c r="D44" s="9">
        <v>8260099725</v>
      </c>
      <c r="E44" s="9">
        <v>8260099726</v>
      </c>
      <c r="F44" s="9" t="s">
        <v>1525</v>
      </c>
      <c r="G44" s="9">
        <v>8260099712</v>
      </c>
      <c r="H44" s="319"/>
      <c r="I44" s="319"/>
      <c r="J44" s="319"/>
    </row>
    <row r="45" spans="1:12" x14ac:dyDescent="0.2">
      <c r="A45" s="276">
        <v>46155</v>
      </c>
      <c r="B45" s="61" t="s">
        <v>1526</v>
      </c>
      <c r="C45" s="61" t="s">
        <v>1527</v>
      </c>
      <c r="D45" s="61" t="s">
        <v>1528</v>
      </c>
      <c r="E45" s="61" t="s">
        <v>1529</v>
      </c>
      <c r="F45" s="61" t="s">
        <v>1530</v>
      </c>
      <c r="G45" s="61" t="s">
        <v>1531</v>
      </c>
      <c r="H45" s="278"/>
      <c r="I45" s="278"/>
      <c r="J45" s="278"/>
    </row>
    <row r="46" spans="1:12" ht="45" customHeight="1" x14ac:dyDescent="0.2">
      <c r="A46" s="276"/>
      <c r="B46" s="9">
        <v>8260099801</v>
      </c>
      <c r="C46" s="9" t="s">
        <v>1532</v>
      </c>
      <c r="D46" s="9">
        <v>8260099806</v>
      </c>
      <c r="E46" s="9">
        <v>8260099820</v>
      </c>
      <c r="F46" s="9" t="s">
        <v>1533</v>
      </c>
      <c r="G46" s="9">
        <v>8260099799</v>
      </c>
      <c r="H46" s="278"/>
      <c r="I46" s="278"/>
      <c r="J46" s="278"/>
    </row>
    <row r="47" spans="1:12" ht="15" customHeight="1" x14ac:dyDescent="0.2">
      <c r="A47" s="276">
        <v>46156</v>
      </c>
      <c r="B47" s="61" t="s">
        <v>1534</v>
      </c>
      <c r="C47" s="61" t="s">
        <v>1535</v>
      </c>
      <c r="D47" s="61" t="s">
        <v>1536</v>
      </c>
      <c r="E47" s="61" t="s">
        <v>1537</v>
      </c>
      <c r="F47" s="61" t="s">
        <v>635</v>
      </c>
      <c r="G47" s="61" t="s">
        <v>1538</v>
      </c>
      <c r="H47" s="278"/>
      <c r="I47" s="278"/>
      <c r="J47" s="278"/>
    </row>
    <row r="48" spans="1:12" ht="45" customHeight="1" x14ac:dyDescent="0.2">
      <c r="A48" s="276"/>
      <c r="B48" s="9">
        <v>8260099894</v>
      </c>
      <c r="C48" s="9" t="s">
        <v>1539</v>
      </c>
      <c r="D48" s="9">
        <v>8260099897</v>
      </c>
      <c r="E48" s="9">
        <v>8260099895</v>
      </c>
      <c r="F48" s="9" t="s">
        <v>1540</v>
      </c>
      <c r="G48" s="9">
        <v>8260099874</v>
      </c>
      <c r="H48" s="278"/>
      <c r="I48" s="278"/>
      <c r="J48" s="278"/>
    </row>
    <row r="49" spans="1:15" x14ac:dyDescent="0.2">
      <c r="A49" s="276">
        <v>46157</v>
      </c>
      <c r="B49" s="61" t="s">
        <v>1541</v>
      </c>
      <c r="C49" s="61" t="s">
        <v>1542</v>
      </c>
      <c r="D49" s="61" t="s">
        <v>1541</v>
      </c>
      <c r="E49" s="61" t="s">
        <v>1543</v>
      </c>
      <c r="F49" s="61" t="s">
        <v>1544</v>
      </c>
      <c r="G49" s="61" t="s">
        <v>1538</v>
      </c>
      <c r="H49" s="319"/>
      <c r="I49" s="319"/>
      <c r="J49" s="319"/>
    </row>
    <row r="50" spans="1:15" s="6" customFormat="1" ht="45" customHeight="1" x14ac:dyDescent="0.2">
      <c r="A50" s="276"/>
      <c r="B50" s="9">
        <v>8260099963</v>
      </c>
      <c r="C50" s="9" t="s">
        <v>1545</v>
      </c>
      <c r="D50" s="9">
        <v>8260099963</v>
      </c>
      <c r="E50" s="9">
        <v>8260099972</v>
      </c>
      <c r="F50" s="9">
        <v>8260099948</v>
      </c>
      <c r="G50" s="9">
        <v>8260099947</v>
      </c>
      <c r="H50" s="319"/>
      <c r="I50" s="319"/>
      <c r="J50" s="319"/>
    </row>
    <row r="51" spans="1:15" s="6" customFormat="1" x14ac:dyDescent="0.2">
      <c r="A51" s="157" t="s">
        <v>1274</v>
      </c>
      <c r="B51" s="143">
        <v>5</v>
      </c>
      <c r="C51" s="143">
        <v>5</v>
      </c>
      <c r="D51" s="143">
        <v>5</v>
      </c>
      <c r="E51" s="143">
        <v>5</v>
      </c>
      <c r="F51" s="143">
        <v>5</v>
      </c>
      <c r="G51" s="143">
        <v>4</v>
      </c>
      <c r="H51" s="113">
        <f>SUM(B51:G51)</f>
        <v>29</v>
      </c>
      <c r="I51" s="145"/>
      <c r="J51" s="145"/>
    </row>
    <row r="52" spans="1:15" s="6" customFormat="1" x14ac:dyDescent="0.2">
      <c r="A52" s="157" t="s">
        <v>1275</v>
      </c>
      <c r="B52" s="143">
        <v>3</v>
      </c>
      <c r="C52" s="143">
        <v>5</v>
      </c>
      <c r="D52" s="143">
        <v>5</v>
      </c>
      <c r="E52" s="143">
        <v>5</v>
      </c>
      <c r="F52" s="143">
        <v>5</v>
      </c>
      <c r="G52" s="143">
        <v>4</v>
      </c>
      <c r="H52" s="113">
        <f t="shared" ref="H52:H53" si="2">SUM(B52:G52)</f>
        <v>27</v>
      </c>
      <c r="I52" s="145"/>
      <c r="J52" s="145"/>
    </row>
    <row r="53" spans="1:15" s="6" customFormat="1" x14ac:dyDescent="0.2">
      <c r="A53" s="158" t="s">
        <v>1276</v>
      </c>
      <c r="B53" s="146">
        <v>2</v>
      </c>
      <c r="C53" s="146">
        <v>0</v>
      </c>
      <c r="D53" s="146">
        <v>0</v>
      </c>
      <c r="E53" s="146">
        <v>0</v>
      </c>
      <c r="F53" s="146">
        <v>0</v>
      </c>
      <c r="G53" s="146">
        <v>0</v>
      </c>
      <c r="H53" s="151">
        <f t="shared" si="2"/>
        <v>2</v>
      </c>
      <c r="I53" s="145"/>
      <c r="J53" s="145"/>
    </row>
    <row r="54" spans="1:1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5" x14ac:dyDescent="0.2">
      <c r="A55" s="279" t="s">
        <v>143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38"/>
      <c r="N55" s="38"/>
      <c r="O55" s="38"/>
    </row>
    <row r="56" spans="1:15" ht="41.25" x14ac:dyDescent="0.2">
      <c r="A56" s="280" t="s">
        <v>34</v>
      </c>
      <c r="B56" s="5" t="s">
        <v>144</v>
      </c>
      <c r="C56" s="5" t="s">
        <v>145</v>
      </c>
      <c r="D56" s="5" t="s">
        <v>146</v>
      </c>
      <c r="E56" s="5" t="s">
        <v>662</v>
      </c>
      <c r="F56" s="5" t="s">
        <v>148</v>
      </c>
      <c r="G56" s="5" t="s">
        <v>149</v>
      </c>
      <c r="H56" s="5" t="s">
        <v>150</v>
      </c>
      <c r="I56" s="5" t="s">
        <v>151</v>
      </c>
      <c r="J56" s="5" t="s">
        <v>152</v>
      </c>
      <c r="K56" s="5" t="s">
        <v>663</v>
      </c>
      <c r="L56" s="282" t="s">
        <v>8</v>
      </c>
    </row>
    <row r="57" spans="1:15" x14ac:dyDescent="0.2">
      <c r="A57" s="280"/>
      <c r="B57" s="15" t="s">
        <v>153</v>
      </c>
      <c r="C57" s="15" t="s">
        <v>153</v>
      </c>
      <c r="D57" s="15" t="s">
        <v>154</v>
      </c>
      <c r="E57" s="15" t="s">
        <v>155</v>
      </c>
      <c r="F57" s="15" t="s">
        <v>156</v>
      </c>
      <c r="G57" s="15" t="s">
        <v>156</v>
      </c>
      <c r="H57" s="15" t="s">
        <v>45</v>
      </c>
      <c r="I57" s="15" t="s">
        <v>157</v>
      </c>
      <c r="J57" s="15" t="s">
        <v>157</v>
      </c>
      <c r="K57" s="15" t="s">
        <v>106</v>
      </c>
      <c r="L57" s="282"/>
    </row>
    <row r="58" spans="1:15" x14ac:dyDescent="0.2">
      <c r="A58" s="379">
        <v>46153</v>
      </c>
      <c r="B58" s="61" t="s">
        <v>1546</v>
      </c>
      <c r="C58" s="61" t="s">
        <v>1547</v>
      </c>
      <c r="D58" s="61" t="s">
        <v>1548</v>
      </c>
      <c r="E58" s="61" t="s">
        <v>1549</v>
      </c>
      <c r="F58" s="61" t="s">
        <v>1510</v>
      </c>
      <c r="G58" s="61" t="s">
        <v>1550</v>
      </c>
      <c r="H58" s="61" t="s">
        <v>1551</v>
      </c>
      <c r="I58" s="61"/>
      <c r="J58" s="53"/>
      <c r="K58" s="66"/>
      <c r="L58" s="323"/>
    </row>
    <row r="59" spans="1:15" ht="45" customHeight="1" x14ac:dyDescent="0.2">
      <c r="A59" s="379"/>
      <c r="B59" s="9">
        <v>8260099656</v>
      </c>
      <c r="C59" s="9" t="s">
        <v>1552</v>
      </c>
      <c r="D59" s="9">
        <v>8260099641</v>
      </c>
      <c r="E59" s="9">
        <v>8260099653</v>
      </c>
      <c r="F59" s="9">
        <v>8260099642</v>
      </c>
      <c r="G59" s="9">
        <v>8260099634</v>
      </c>
      <c r="H59" s="9">
        <v>8260099655</v>
      </c>
      <c r="I59" s="9"/>
      <c r="J59" s="7"/>
      <c r="K59" s="9"/>
      <c r="L59" s="325"/>
    </row>
    <row r="60" spans="1:15" x14ac:dyDescent="0.2">
      <c r="A60" s="276">
        <v>46154</v>
      </c>
      <c r="B60" s="17" t="s">
        <v>1553</v>
      </c>
      <c r="C60" s="61" t="s">
        <v>1554</v>
      </c>
      <c r="D60" s="61" t="s">
        <v>1555</v>
      </c>
      <c r="E60" s="61" t="s">
        <v>1556</v>
      </c>
      <c r="F60" s="61" t="s">
        <v>1557</v>
      </c>
      <c r="G60" s="61" t="s">
        <v>1558</v>
      </c>
      <c r="H60" s="61" t="s">
        <v>1559</v>
      </c>
      <c r="I60" s="61"/>
      <c r="J60" s="53"/>
      <c r="K60" s="66" t="s">
        <v>1560</v>
      </c>
      <c r="L60" s="323" t="s">
        <v>1561</v>
      </c>
    </row>
    <row r="61" spans="1:15" ht="45" customHeight="1" x14ac:dyDescent="0.2">
      <c r="A61" s="276"/>
      <c r="B61" s="9">
        <v>8260099724</v>
      </c>
      <c r="C61" s="9" t="s">
        <v>1562</v>
      </c>
      <c r="D61" s="9">
        <v>8260099723</v>
      </c>
      <c r="E61" s="9">
        <v>8260099719</v>
      </c>
      <c r="F61" s="9">
        <v>8260099700</v>
      </c>
      <c r="G61" s="9">
        <v>8260099716</v>
      </c>
      <c r="H61" s="9">
        <v>8260099701</v>
      </c>
      <c r="I61" s="9"/>
      <c r="J61" s="7"/>
      <c r="K61" s="9">
        <v>8260099702</v>
      </c>
      <c r="L61" s="325"/>
    </row>
    <row r="62" spans="1:15" x14ac:dyDescent="0.2">
      <c r="A62" s="276">
        <v>46155</v>
      </c>
      <c r="B62" s="61" t="s">
        <v>1563</v>
      </c>
      <c r="C62" s="61" t="s">
        <v>1564</v>
      </c>
      <c r="D62" s="61" t="s">
        <v>1565</v>
      </c>
      <c r="E62" s="61" t="s">
        <v>1566</v>
      </c>
      <c r="F62" s="61" t="s">
        <v>1567</v>
      </c>
      <c r="G62" s="61" t="s">
        <v>1568</v>
      </c>
      <c r="H62" s="61" t="s">
        <v>710</v>
      </c>
      <c r="I62" s="61"/>
      <c r="J62" s="53"/>
      <c r="K62" s="66"/>
      <c r="L62" s="366"/>
    </row>
    <row r="63" spans="1:15" ht="45" customHeight="1" x14ac:dyDescent="0.2">
      <c r="A63" s="276"/>
      <c r="B63" s="9">
        <v>8260099805</v>
      </c>
      <c r="C63" s="9" t="s">
        <v>1569</v>
      </c>
      <c r="D63" s="9">
        <v>8260099818</v>
      </c>
      <c r="E63" s="9">
        <v>8260099813</v>
      </c>
      <c r="F63" s="9">
        <v>8260099802</v>
      </c>
      <c r="G63" s="9">
        <v>8260099815</v>
      </c>
      <c r="H63" s="9">
        <v>8260099809</v>
      </c>
      <c r="I63" s="9"/>
      <c r="J63" s="7"/>
      <c r="K63" s="9"/>
      <c r="L63" s="367"/>
    </row>
    <row r="64" spans="1:15" x14ac:dyDescent="0.2">
      <c r="A64" s="276">
        <v>46156</v>
      </c>
      <c r="B64" s="61" t="s">
        <v>1570</v>
      </c>
      <c r="C64" s="61" t="s">
        <v>1571</v>
      </c>
      <c r="D64" s="61" t="s">
        <v>1572</v>
      </c>
      <c r="E64" s="61" t="s">
        <v>1573</v>
      </c>
      <c r="F64" s="61" t="s">
        <v>1574</v>
      </c>
      <c r="G64" s="61" t="s">
        <v>1575</v>
      </c>
      <c r="H64" s="61" t="s">
        <v>1576</v>
      </c>
      <c r="I64" s="61"/>
      <c r="J64" s="53" t="s">
        <v>1577</v>
      </c>
      <c r="K64" s="61" t="s">
        <v>1578</v>
      </c>
      <c r="L64" s="323"/>
    </row>
    <row r="65" spans="1:12" ht="45" customHeight="1" x14ac:dyDescent="0.2">
      <c r="A65" s="276"/>
      <c r="B65" s="121">
        <v>8260099882</v>
      </c>
      <c r="C65" s="9" t="s">
        <v>1579</v>
      </c>
      <c r="D65" s="9">
        <v>8260099889</v>
      </c>
      <c r="E65" s="9">
        <v>8260099901</v>
      </c>
      <c r="F65" s="9">
        <v>8260099883</v>
      </c>
      <c r="G65" s="9">
        <v>8260099879</v>
      </c>
      <c r="H65" s="9">
        <v>8260099876</v>
      </c>
      <c r="I65" s="9"/>
      <c r="J65" s="7">
        <v>8260099869</v>
      </c>
      <c r="K65" s="9">
        <v>8260099891</v>
      </c>
      <c r="L65" s="325"/>
    </row>
    <row r="66" spans="1:12" x14ac:dyDescent="0.2">
      <c r="A66" s="276">
        <v>46157</v>
      </c>
      <c r="B66" s="61" t="s">
        <v>680</v>
      </c>
      <c r="C66" s="61" t="s">
        <v>1580</v>
      </c>
      <c r="D66" s="61" t="s">
        <v>1581</v>
      </c>
      <c r="E66" s="61" t="s">
        <v>1582</v>
      </c>
      <c r="F66" s="61" t="s">
        <v>1583</v>
      </c>
      <c r="G66" s="61" t="s">
        <v>1544</v>
      </c>
      <c r="H66" s="17" t="s">
        <v>1584</v>
      </c>
      <c r="I66" s="61"/>
      <c r="J66" s="53"/>
      <c r="K66" s="66"/>
      <c r="L66" s="323" t="s">
        <v>1585</v>
      </c>
    </row>
    <row r="67" spans="1:12" ht="45" customHeight="1" x14ac:dyDescent="0.2">
      <c r="A67" s="276"/>
      <c r="B67" s="9">
        <v>8260099953</v>
      </c>
      <c r="C67" s="9" t="s">
        <v>1586</v>
      </c>
      <c r="D67" s="9">
        <v>8260099967</v>
      </c>
      <c r="E67" s="9">
        <v>8260099975</v>
      </c>
      <c r="F67" s="9">
        <v>8260099971</v>
      </c>
      <c r="G67" s="9">
        <v>8260099973</v>
      </c>
      <c r="H67" s="9">
        <v>8260099956</v>
      </c>
      <c r="I67" s="9"/>
      <c r="J67" s="7"/>
      <c r="K67" s="9"/>
      <c r="L67" s="325"/>
    </row>
    <row r="68" spans="1:12" x14ac:dyDescent="0.2">
      <c r="A68" s="157" t="s">
        <v>1274</v>
      </c>
      <c r="B68" s="143">
        <v>5</v>
      </c>
      <c r="C68" s="143">
        <v>5</v>
      </c>
      <c r="D68" s="143">
        <v>5</v>
      </c>
      <c r="E68" s="143">
        <v>5</v>
      </c>
      <c r="F68" s="143">
        <v>5</v>
      </c>
      <c r="G68" s="143">
        <v>5</v>
      </c>
      <c r="H68" s="143">
        <v>5</v>
      </c>
      <c r="I68" s="143">
        <v>0</v>
      </c>
      <c r="J68" s="143">
        <v>1</v>
      </c>
      <c r="K68" s="143">
        <v>2</v>
      </c>
      <c r="L68" s="149">
        <f>SUM(B68:K68)</f>
        <v>38</v>
      </c>
    </row>
    <row r="69" spans="1:12" x14ac:dyDescent="0.2">
      <c r="A69" s="157" t="s">
        <v>1275</v>
      </c>
      <c r="B69" s="143">
        <v>4</v>
      </c>
      <c r="C69" s="143">
        <v>5</v>
      </c>
      <c r="D69" s="143">
        <v>5</v>
      </c>
      <c r="E69" s="143">
        <v>5</v>
      </c>
      <c r="F69" s="143">
        <v>5</v>
      </c>
      <c r="G69" s="143">
        <v>5</v>
      </c>
      <c r="H69" s="143">
        <v>4</v>
      </c>
      <c r="I69" s="143">
        <v>0</v>
      </c>
      <c r="J69" s="143">
        <v>1</v>
      </c>
      <c r="K69" s="143">
        <v>2</v>
      </c>
      <c r="L69" s="149">
        <f t="shared" ref="L69:L70" si="3">SUM(B69:K69)</f>
        <v>36</v>
      </c>
    </row>
    <row r="70" spans="1:12" x14ac:dyDescent="0.2">
      <c r="A70" s="158" t="s">
        <v>1276</v>
      </c>
      <c r="B70" s="146">
        <v>1</v>
      </c>
      <c r="C70" s="146">
        <v>0</v>
      </c>
      <c r="D70" s="146">
        <v>0</v>
      </c>
      <c r="E70" s="146">
        <v>0</v>
      </c>
      <c r="F70" s="146">
        <v>0</v>
      </c>
      <c r="G70" s="146">
        <v>0</v>
      </c>
      <c r="H70" s="146">
        <v>1</v>
      </c>
      <c r="I70" s="146">
        <v>0</v>
      </c>
      <c r="J70" s="146">
        <v>0</v>
      </c>
      <c r="K70" s="146">
        <v>0</v>
      </c>
      <c r="L70" s="150">
        <f t="shared" si="3"/>
        <v>2</v>
      </c>
    </row>
    <row r="72" spans="1:12" ht="27.75" x14ac:dyDescent="0.2">
      <c r="A72" s="280" t="s">
        <v>34</v>
      </c>
      <c r="B72" s="5" t="s">
        <v>196</v>
      </c>
      <c r="C72" s="5" t="s">
        <v>472</v>
      </c>
      <c r="D72" s="5" t="s">
        <v>198</v>
      </c>
      <c r="E72" s="5" t="s">
        <v>199</v>
      </c>
      <c r="F72" s="5" t="s">
        <v>200</v>
      </c>
      <c r="G72" s="5" t="s">
        <v>201</v>
      </c>
      <c r="H72" s="5" t="s">
        <v>202</v>
      </c>
      <c r="I72" s="5" t="s">
        <v>203</v>
      </c>
      <c r="J72" s="5" t="s">
        <v>204</v>
      </c>
      <c r="K72" s="5" t="s">
        <v>1149</v>
      </c>
      <c r="L72" s="104" t="s">
        <v>8</v>
      </c>
    </row>
    <row r="73" spans="1:12" x14ac:dyDescent="0.2">
      <c r="A73" s="280"/>
      <c r="B73" s="15" t="s">
        <v>153</v>
      </c>
      <c r="C73" s="15" t="s">
        <v>205</v>
      </c>
      <c r="D73" s="15" t="s">
        <v>206</v>
      </c>
      <c r="E73" s="15" t="s">
        <v>207</v>
      </c>
      <c r="F73" s="15" t="s">
        <v>208</v>
      </c>
      <c r="G73" s="15" t="s">
        <v>207</v>
      </c>
      <c r="H73" s="15" t="s">
        <v>103</v>
      </c>
      <c r="I73" s="15" t="s">
        <v>208</v>
      </c>
      <c r="J73" s="15" t="s">
        <v>209</v>
      </c>
      <c r="K73" s="15" t="s">
        <v>1150</v>
      </c>
      <c r="L73" s="104"/>
    </row>
    <row r="74" spans="1:12" x14ac:dyDescent="0.2">
      <c r="A74" s="379">
        <v>46153</v>
      </c>
      <c r="B74" s="61" t="s">
        <v>1587</v>
      </c>
      <c r="C74" s="61" t="s">
        <v>1588</v>
      </c>
      <c r="D74" s="61" t="s">
        <v>1589</v>
      </c>
      <c r="E74" s="61" t="s">
        <v>1590</v>
      </c>
      <c r="F74" s="61" t="s">
        <v>1591</v>
      </c>
      <c r="G74" s="61" t="s">
        <v>1592</v>
      </c>
      <c r="H74" s="61" t="s">
        <v>1593</v>
      </c>
      <c r="I74" s="61" t="s">
        <v>1594</v>
      </c>
      <c r="J74" s="66"/>
      <c r="K74" s="66"/>
      <c r="L74" s="103"/>
    </row>
    <row r="75" spans="1:12" ht="45" customHeight="1" x14ac:dyDescent="0.2">
      <c r="A75" s="379"/>
      <c r="B75" s="9">
        <v>8260099640</v>
      </c>
      <c r="C75" s="9">
        <v>8260099625</v>
      </c>
      <c r="D75" s="9">
        <v>8260099650</v>
      </c>
      <c r="E75" s="9">
        <v>8260099628</v>
      </c>
      <c r="F75" s="9">
        <v>8260099651</v>
      </c>
      <c r="G75" s="9">
        <v>8260099633</v>
      </c>
      <c r="H75" s="9">
        <v>8260099658</v>
      </c>
      <c r="I75" s="9" t="s">
        <v>1595</v>
      </c>
      <c r="J75" s="9"/>
      <c r="K75" s="9"/>
      <c r="L75" s="103"/>
    </row>
    <row r="76" spans="1:12" x14ac:dyDescent="0.2">
      <c r="A76" s="276">
        <v>46154</v>
      </c>
      <c r="B76" s="61" t="s">
        <v>1596</v>
      </c>
      <c r="C76" s="61" t="s">
        <v>1597</v>
      </c>
      <c r="D76" s="61" t="s">
        <v>1598</v>
      </c>
      <c r="E76" s="61" t="s">
        <v>1599</v>
      </c>
      <c r="F76" s="61" t="s">
        <v>1600</v>
      </c>
      <c r="G76" s="61" t="s">
        <v>1601</v>
      </c>
      <c r="H76" s="61" t="s">
        <v>1602</v>
      </c>
      <c r="I76" s="61" t="s">
        <v>1603</v>
      </c>
      <c r="J76" s="66"/>
      <c r="K76" s="66"/>
      <c r="L76" s="111"/>
    </row>
    <row r="77" spans="1:12" ht="45" customHeight="1" x14ac:dyDescent="0.2">
      <c r="A77" s="276"/>
      <c r="B77" s="9">
        <v>8260099720</v>
      </c>
      <c r="C77" s="9">
        <v>8260099703</v>
      </c>
      <c r="D77" s="9">
        <v>8260099721</v>
      </c>
      <c r="E77" s="9">
        <v>8260099705</v>
      </c>
      <c r="F77" s="9">
        <v>8260099727</v>
      </c>
      <c r="G77" s="9">
        <v>8260099733</v>
      </c>
      <c r="H77" s="9">
        <v>8260099731</v>
      </c>
      <c r="I77" s="9" t="s">
        <v>1604</v>
      </c>
      <c r="J77" s="7"/>
      <c r="K77" s="9"/>
      <c r="L77" s="111"/>
    </row>
    <row r="78" spans="1:12" x14ac:dyDescent="0.2">
      <c r="A78" s="276">
        <v>46155</v>
      </c>
      <c r="B78" s="61" t="s">
        <v>1605</v>
      </c>
      <c r="C78" s="61" t="s">
        <v>1606</v>
      </c>
      <c r="D78" s="61" t="s">
        <v>1607</v>
      </c>
      <c r="E78" s="61" t="s">
        <v>1608</v>
      </c>
      <c r="F78" s="61" t="s">
        <v>1609</v>
      </c>
      <c r="G78" s="61" t="s">
        <v>1610</v>
      </c>
      <c r="H78" s="61" t="s">
        <v>1611</v>
      </c>
      <c r="I78" s="61" t="s">
        <v>626</v>
      </c>
      <c r="J78" s="53"/>
      <c r="K78" s="66"/>
      <c r="L78" s="111"/>
    </row>
    <row r="79" spans="1:12" ht="45" customHeight="1" x14ac:dyDescent="0.2">
      <c r="A79" s="276"/>
      <c r="B79" s="9">
        <v>8260099800</v>
      </c>
      <c r="C79" s="9">
        <v>8260099796</v>
      </c>
      <c r="D79" s="9">
        <v>8260099808</v>
      </c>
      <c r="E79" s="9">
        <v>8260099791</v>
      </c>
      <c r="F79" s="9">
        <v>8260099798</v>
      </c>
      <c r="G79" s="9">
        <v>8260099817</v>
      </c>
      <c r="H79" s="9">
        <v>8260099821</v>
      </c>
      <c r="I79" s="9" t="s">
        <v>1612</v>
      </c>
      <c r="J79" s="7"/>
      <c r="K79" s="9"/>
      <c r="L79" s="111"/>
    </row>
    <row r="80" spans="1:12" x14ac:dyDescent="0.2">
      <c r="A80" s="276">
        <v>46156</v>
      </c>
      <c r="B80" s="61" t="s">
        <v>1613</v>
      </c>
      <c r="C80" s="61" t="s">
        <v>1614</v>
      </c>
      <c r="D80" s="61" t="s">
        <v>1615</v>
      </c>
      <c r="E80" s="61" t="s">
        <v>1616</v>
      </c>
      <c r="F80" s="61" t="s">
        <v>1617</v>
      </c>
      <c r="G80" s="61" t="s">
        <v>1613</v>
      </c>
      <c r="H80" s="61" t="s">
        <v>1618</v>
      </c>
      <c r="I80" s="61" t="s">
        <v>1619</v>
      </c>
      <c r="J80" s="53"/>
      <c r="K80" s="16"/>
      <c r="L80" s="111"/>
    </row>
    <row r="81" spans="1:14" ht="45" customHeight="1" x14ac:dyDescent="0.2">
      <c r="A81" s="276"/>
      <c r="B81" s="9">
        <v>8260099898</v>
      </c>
      <c r="C81" s="9">
        <v>8260099892</v>
      </c>
      <c r="D81" s="9">
        <v>8260099878</v>
      </c>
      <c r="E81" s="9">
        <v>8260099871</v>
      </c>
      <c r="F81" s="9">
        <v>8260099877</v>
      </c>
      <c r="G81" s="9">
        <v>8260099896</v>
      </c>
      <c r="H81" s="9">
        <v>8260099890</v>
      </c>
      <c r="I81" s="9" t="s">
        <v>1620</v>
      </c>
      <c r="J81" s="7"/>
      <c r="K81" s="9"/>
      <c r="L81" s="111"/>
    </row>
    <row r="82" spans="1:14" x14ac:dyDescent="0.2">
      <c r="A82" s="276">
        <v>46157</v>
      </c>
      <c r="B82" s="61" t="s">
        <v>1621</v>
      </c>
      <c r="C82" s="61" t="s">
        <v>1622</v>
      </c>
      <c r="D82" s="61" t="s">
        <v>1623</v>
      </c>
      <c r="E82" s="61" t="s">
        <v>1624</v>
      </c>
      <c r="F82" s="61" t="s">
        <v>1625</v>
      </c>
      <c r="G82" s="61" t="s">
        <v>1626</v>
      </c>
      <c r="H82" s="61" t="s">
        <v>731</v>
      </c>
      <c r="I82" s="61" t="s">
        <v>1627</v>
      </c>
      <c r="J82" s="53"/>
      <c r="K82" s="66"/>
      <c r="L82" s="10"/>
    </row>
    <row r="83" spans="1:14" ht="45" customHeight="1" x14ac:dyDescent="0.2">
      <c r="A83" s="276"/>
      <c r="B83" s="9">
        <v>8260099958</v>
      </c>
      <c r="C83" s="9">
        <v>8260099957</v>
      </c>
      <c r="D83" s="9">
        <v>8260099965</v>
      </c>
      <c r="E83" s="9">
        <v>8260099960</v>
      </c>
      <c r="F83" s="9">
        <v>8260099977</v>
      </c>
      <c r="G83" s="9">
        <v>8260099955</v>
      </c>
      <c r="H83" s="9">
        <v>8260099969</v>
      </c>
      <c r="I83" s="9" t="s">
        <v>1628</v>
      </c>
      <c r="J83" s="7"/>
      <c r="K83" s="9"/>
      <c r="L83" s="111"/>
    </row>
    <row r="84" spans="1:14" x14ac:dyDescent="0.2">
      <c r="A84" s="157" t="s">
        <v>1274</v>
      </c>
      <c r="B84" s="143">
        <v>5</v>
      </c>
      <c r="C84" s="143">
        <v>5</v>
      </c>
      <c r="D84" s="143">
        <v>5</v>
      </c>
      <c r="E84" s="143">
        <v>5</v>
      </c>
      <c r="F84" s="143">
        <v>5</v>
      </c>
      <c r="G84" s="143">
        <v>5</v>
      </c>
      <c r="H84" s="143">
        <v>5</v>
      </c>
      <c r="I84" s="143">
        <v>5</v>
      </c>
      <c r="J84" s="143">
        <v>0</v>
      </c>
      <c r="K84" s="143">
        <v>0</v>
      </c>
      <c r="L84" s="113">
        <f>SUM(B84:K84)</f>
        <v>40</v>
      </c>
    </row>
    <row r="85" spans="1:14" x14ac:dyDescent="0.2">
      <c r="A85" s="157" t="s">
        <v>1275</v>
      </c>
      <c r="B85" s="143">
        <v>5</v>
      </c>
      <c r="C85" s="143">
        <v>5</v>
      </c>
      <c r="D85" s="143">
        <v>5</v>
      </c>
      <c r="E85" s="143">
        <v>5</v>
      </c>
      <c r="F85" s="143">
        <v>5</v>
      </c>
      <c r="G85" s="143">
        <v>5</v>
      </c>
      <c r="H85" s="143">
        <v>5</v>
      </c>
      <c r="I85" s="143">
        <v>5</v>
      </c>
      <c r="J85" s="143">
        <v>0</v>
      </c>
      <c r="K85" s="143">
        <v>0</v>
      </c>
      <c r="L85" s="113">
        <f t="shared" ref="L85:L86" si="4">SUM(B85:K85)</f>
        <v>40</v>
      </c>
    </row>
    <row r="86" spans="1:14" x14ac:dyDescent="0.2">
      <c r="A86" s="158" t="s">
        <v>1276</v>
      </c>
      <c r="B86" s="146">
        <v>0</v>
      </c>
      <c r="C86" s="146">
        <v>0</v>
      </c>
      <c r="D86" s="146">
        <v>0</v>
      </c>
      <c r="E86" s="146">
        <v>0</v>
      </c>
      <c r="F86" s="146">
        <v>0</v>
      </c>
      <c r="G86" s="146">
        <v>0</v>
      </c>
      <c r="H86" s="146">
        <v>0</v>
      </c>
      <c r="I86" s="146">
        <v>0</v>
      </c>
      <c r="J86" s="146">
        <v>0</v>
      </c>
      <c r="K86" s="146">
        <v>0</v>
      </c>
      <c r="L86" s="151">
        <f t="shared" si="4"/>
        <v>0</v>
      </c>
    </row>
    <row r="88" spans="1:14" x14ac:dyDescent="0.2">
      <c r="A88" s="279" t="s">
        <v>252</v>
      </c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38"/>
      <c r="N88" s="38"/>
    </row>
    <row r="89" spans="1:14" ht="27.75" x14ac:dyDescent="0.2">
      <c r="A89" s="329" t="s">
        <v>34</v>
      </c>
      <c r="B89" s="82" t="s">
        <v>253</v>
      </c>
      <c r="C89" s="82" t="s">
        <v>254</v>
      </c>
      <c r="D89" s="82" t="s">
        <v>255</v>
      </c>
      <c r="E89" s="82" t="s">
        <v>256</v>
      </c>
      <c r="F89" s="82" t="s">
        <v>257</v>
      </c>
      <c r="G89" s="82" t="s">
        <v>258</v>
      </c>
      <c r="H89" s="82" t="s">
        <v>259</v>
      </c>
      <c r="I89" s="82" t="s">
        <v>260</v>
      </c>
      <c r="J89" s="330" t="s">
        <v>8</v>
      </c>
      <c r="K89" s="330"/>
      <c r="L89" s="330"/>
    </row>
    <row r="90" spans="1:14" x14ac:dyDescent="0.2">
      <c r="A90" s="280"/>
      <c r="B90" s="15" t="s">
        <v>154</v>
      </c>
      <c r="C90" s="15" t="s">
        <v>261</v>
      </c>
      <c r="D90" s="15" t="s">
        <v>262</v>
      </c>
      <c r="E90" s="15" t="s">
        <v>42</v>
      </c>
      <c r="F90" s="15" t="s">
        <v>263</v>
      </c>
      <c r="G90" s="15" t="s">
        <v>264</v>
      </c>
      <c r="H90" s="15" t="s">
        <v>265</v>
      </c>
      <c r="I90" s="15" t="s">
        <v>263</v>
      </c>
      <c r="J90" s="282"/>
      <c r="K90" s="282"/>
      <c r="L90" s="282"/>
    </row>
    <row r="91" spans="1:14" x14ac:dyDescent="0.2">
      <c r="A91" s="379">
        <v>46153</v>
      </c>
      <c r="B91" s="61" t="s">
        <v>1629</v>
      </c>
      <c r="C91" s="61" t="s">
        <v>1630</v>
      </c>
      <c r="D91" s="61" t="s">
        <v>1631</v>
      </c>
      <c r="E91" s="61" t="s">
        <v>1631</v>
      </c>
      <c r="F91" s="61" t="s">
        <v>1632</v>
      </c>
      <c r="G91" s="61" t="s">
        <v>1633</v>
      </c>
      <c r="H91" s="61" t="s">
        <v>1634</v>
      </c>
      <c r="I91" s="61"/>
      <c r="J91" s="331"/>
      <c r="K91" s="331"/>
      <c r="L91" s="331"/>
    </row>
    <row r="92" spans="1:14" ht="45" customHeight="1" x14ac:dyDescent="0.2">
      <c r="A92" s="379"/>
      <c r="B92" s="9" t="s">
        <v>1635</v>
      </c>
      <c r="C92" s="9">
        <v>8260099630</v>
      </c>
      <c r="D92" s="9">
        <v>8260099632</v>
      </c>
      <c r="E92" s="9">
        <v>8260099644</v>
      </c>
      <c r="F92" s="9">
        <v>8260099638</v>
      </c>
      <c r="G92" s="9">
        <v>8260099635</v>
      </c>
      <c r="H92" s="9">
        <v>8260099639</v>
      </c>
      <c r="I92" s="9"/>
      <c r="J92" s="331"/>
      <c r="K92" s="331"/>
      <c r="L92" s="331"/>
    </row>
    <row r="93" spans="1:14" x14ac:dyDescent="0.2">
      <c r="A93" s="276">
        <v>46154</v>
      </c>
      <c r="B93" s="61" t="s">
        <v>1636</v>
      </c>
      <c r="C93" s="61" t="s">
        <v>1637</v>
      </c>
      <c r="D93" s="61" t="s">
        <v>1638</v>
      </c>
      <c r="E93" s="61" t="s">
        <v>1638</v>
      </c>
      <c r="F93" s="61" t="s">
        <v>1599</v>
      </c>
      <c r="G93" s="61" t="s">
        <v>1639</v>
      </c>
      <c r="H93" s="61" t="s">
        <v>1640</v>
      </c>
      <c r="I93" s="61"/>
      <c r="J93" s="331"/>
      <c r="K93" s="331"/>
      <c r="L93" s="331"/>
    </row>
    <row r="94" spans="1:14" ht="45" customHeight="1" x14ac:dyDescent="0.2">
      <c r="A94" s="276"/>
      <c r="B94" s="9" t="s">
        <v>1641</v>
      </c>
      <c r="C94" s="9">
        <v>8260099722</v>
      </c>
      <c r="D94" s="9">
        <v>8260099730</v>
      </c>
      <c r="E94" s="9">
        <v>8260099717</v>
      </c>
      <c r="F94" s="9">
        <v>8260099715</v>
      </c>
      <c r="G94" s="9">
        <v>8260099710</v>
      </c>
      <c r="H94" s="9">
        <v>8260099704</v>
      </c>
      <c r="I94" s="9"/>
      <c r="J94" s="331"/>
      <c r="K94" s="331"/>
      <c r="L94" s="331"/>
    </row>
    <row r="95" spans="1:14" x14ac:dyDescent="0.2">
      <c r="A95" s="276">
        <v>46155</v>
      </c>
      <c r="B95" s="61" t="s">
        <v>1642</v>
      </c>
      <c r="C95" s="61" t="s">
        <v>1643</v>
      </c>
      <c r="D95" s="61" t="s">
        <v>1644</v>
      </c>
      <c r="E95" s="61" t="s">
        <v>1644</v>
      </c>
      <c r="F95" s="61" t="s">
        <v>623</v>
      </c>
      <c r="G95" s="61" t="s">
        <v>1645</v>
      </c>
      <c r="H95" s="61" t="s">
        <v>1646</v>
      </c>
      <c r="I95" s="61"/>
      <c r="J95" s="331"/>
      <c r="K95" s="331"/>
      <c r="L95" s="331"/>
    </row>
    <row r="96" spans="1:14" ht="45" customHeight="1" x14ac:dyDescent="0.2">
      <c r="A96" s="276"/>
      <c r="B96" s="9" t="s">
        <v>1647</v>
      </c>
      <c r="C96" s="9">
        <v>8260099811</v>
      </c>
      <c r="D96" s="9">
        <v>8260099824</v>
      </c>
      <c r="E96" s="9">
        <v>8260099807</v>
      </c>
      <c r="F96" s="9">
        <v>8260099823</v>
      </c>
      <c r="G96" s="9">
        <v>8260099793</v>
      </c>
      <c r="H96" s="9">
        <v>8260099810</v>
      </c>
      <c r="I96" s="9"/>
      <c r="J96" s="331"/>
      <c r="K96" s="331"/>
      <c r="L96" s="331"/>
    </row>
    <row r="97" spans="1:12" x14ac:dyDescent="0.2">
      <c r="A97" s="276">
        <v>46156</v>
      </c>
      <c r="B97" s="61" t="s">
        <v>1648</v>
      </c>
      <c r="C97" s="61" t="s">
        <v>1649</v>
      </c>
      <c r="D97" s="61" t="s">
        <v>1650</v>
      </c>
      <c r="E97" s="61" t="s">
        <v>1650</v>
      </c>
      <c r="F97" s="61" t="s">
        <v>1651</v>
      </c>
      <c r="G97" s="61" t="s">
        <v>1652</v>
      </c>
      <c r="H97" s="61" t="s">
        <v>1653</v>
      </c>
      <c r="I97" s="61"/>
      <c r="J97" s="278"/>
      <c r="K97" s="278"/>
      <c r="L97" s="278"/>
    </row>
    <row r="98" spans="1:12" ht="45" customHeight="1" x14ac:dyDescent="0.2">
      <c r="A98" s="276"/>
      <c r="B98" s="9" t="s">
        <v>1654</v>
      </c>
      <c r="C98" s="3">
        <v>8260099887</v>
      </c>
      <c r="D98" s="9">
        <v>8260099880</v>
      </c>
      <c r="E98" s="9">
        <v>8260099873</v>
      </c>
      <c r="F98" s="9">
        <v>8260099903</v>
      </c>
      <c r="G98" s="9">
        <v>8260099893</v>
      </c>
      <c r="H98" s="9">
        <v>8260099875</v>
      </c>
      <c r="I98" s="9"/>
      <c r="J98" s="278"/>
      <c r="K98" s="278"/>
      <c r="L98" s="278"/>
    </row>
    <row r="99" spans="1:12" x14ac:dyDescent="0.2">
      <c r="A99" s="276">
        <v>46157</v>
      </c>
      <c r="B99" s="61" t="s">
        <v>1655</v>
      </c>
      <c r="C99" s="61" t="s">
        <v>1656</v>
      </c>
      <c r="D99" s="61" t="s">
        <v>1657</v>
      </c>
      <c r="E99" s="61" t="s">
        <v>1657</v>
      </c>
      <c r="F99" s="61" t="s">
        <v>1658</v>
      </c>
      <c r="G99" s="61" t="s">
        <v>767</v>
      </c>
      <c r="H99" s="61" t="s">
        <v>657</v>
      </c>
      <c r="I99" s="61"/>
      <c r="J99" s="368" t="s">
        <v>783</v>
      </c>
      <c r="K99" s="368"/>
      <c r="L99" s="368"/>
    </row>
    <row r="100" spans="1:12" ht="45" customHeight="1" x14ac:dyDescent="0.2">
      <c r="A100" s="276"/>
      <c r="B100" s="9" t="s">
        <v>1659</v>
      </c>
      <c r="C100" s="9">
        <v>8260099950</v>
      </c>
      <c r="D100" s="9">
        <v>8260099959</v>
      </c>
      <c r="E100" s="9">
        <v>8260099951</v>
      </c>
      <c r="F100" s="9">
        <v>8260099944</v>
      </c>
      <c r="G100" s="9">
        <v>8260099946</v>
      </c>
      <c r="H100" s="9">
        <v>8260099961</v>
      </c>
      <c r="I100" s="9"/>
      <c r="J100" s="368"/>
      <c r="K100" s="368"/>
      <c r="L100" s="368"/>
    </row>
    <row r="101" spans="1:12" x14ac:dyDescent="0.2">
      <c r="A101" s="157" t="s">
        <v>1274</v>
      </c>
      <c r="B101" s="143">
        <v>5</v>
      </c>
      <c r="C101" s="143">
        <v>5</v>
      </c>
      <c r="D101" s="143">
        <v>5</v>
      </c>
      <c r="E101" s="143">
        <v>4</v>
      </c>
      <c r="F101" s="143">
        <v>5</v>
      </c>
      <c r="G101" s="143">
        <v>5</v>
      </c>
      <c r="H101" s="143">
        <v>5</v>
      </c>
      <c r="I101" s="143">
        <v>0</v>
      </c>
      <c r="J101" s="92">
        <f>SUM(B101:I101)</f>
        <v>34</v>
      </c>
    </row>
    <row r="102" spans="1:12" x14ac:dyDescent="0.2">
      <c r="A102" s="157" t="s">
        <v>1275</v>
      </c>
      <c r="B102" s="143">
        <v>5</v>
      </c>
      <c r="C102" s="143">
        <v>5</v>
      </c>
      <c r="D102" s="143">
        <v>5</v>
      </c>
      <c r="E102" s="143">
        <v>4</v>
      </c>
      <c r="F102" s="143">
        <v>5</v>
      </c>
      <c r="G102" s="143">
        <v>5</v>
      </c>
      <c r="H102" s="143">
        <v>5</v>
      </c>
      <c r="I102" s="143">
        <v>0</v>
      </c>
      <c r="J102" s="92">
        <f t="shared" ref="J102:J103" si="5">SUM(B102:I102)</f>
        <v>34</v>
      </c>
    </row>
    <row r="103" spans="1:12" x14ac:dyDescent="0.2">
      <c r="A103" s="158" t="s">
        <v>1276</v>
      </c>
      <c r="B103" s="146">
        <v>0</v>
      </c>
      <c r="C103" s="146">
        <v>0</v>
      </c>
      <c r="D103" s="146">
        <v>0</v>
      </c>
      <c r="E103" s="146">
        <v>0</v>
      </c>
      <c r="F103" s="146">
        <v>0</v>
      </c>
      <c r="G103" s="146">
        <v>0</v>
      </c>
      <c r="H103" s="146">
        <v>0</v>
      </c>
      <c r="I103" s="146">
        <v>0</v>
      </c>
      <c r="J103" s="152">
        <f t="shared" si="5"/>
        <v>0</v>
      </c>
    </row>
  </sheetData>
  <mergeCells count="71">
    <mergeCell ref="A95:A96"/>
    <mergeCell ref="J95:L96"/>
    <mergeCell ref="A97:A98"/>
    <mergeCell ref="J97:L98"/>
    <mergeCell ref="A99:A100"/>
    <mergeCell ref="J99:L100"/>
    <mergeCell ref="A93:A94"/>
    <mergeCell ref="J93:L94"/>
    <mergeCell ref="A72:A73"/>
    <mergeCell ref="A74:A75"/>
    <mergeCell ref="A76:A77"/>
    <mergeCell ref="A78:A79"/>
    <mergeCell ref="A80:A81"/>
    <mergeCell ref="A82:A83"/>
    <mergeCell ref="A88:L88"/>
    <mergeCell ref="A89:A90"/>
    <mergeCell ref="J89:L90"/>
    <mergeCell ref="A91:A92"/>
    <mergeCell ref="J91:L92"/>
    <mergeCell ref="A62:A63"/>
    <mergeCell ref="L62:L63"/>
    <mergeCell ref="A64:A65"/>
    <mergeCell ref="L64:L65"/>
    <mergeCell ref="A66:A67"/>
    <mergeCell ref="L66:L67"/>
    <mergeCell ref="A60:A61"/>
    <mergeCell ref="L60:L61"/>
    <mergeCell ref="A45:A46"/>
    <mergeCell ref="H45:J46"/>
    <mergeCell ref="A47:A48"/>
    <mergeCell ref="H47:J48"/>
    <mergeCell ref="A49:A50"/>
    <mergeCell ref="H49:J50"/>
    <mergeCell ref="A55:L55"/>
    <mergeCell ref="A56:A57"/>
    <mergeCell ref="L56:L57"/>
    <mergeCell ref="A58:A59"/>
    <mergeCell ref="L58:L59"/>
    <mergeCell ref="A43:A44"/>
    <mergeCell ref="H43:J44"/>
    <mergeCell ref="A24:A25"/>
    <mergeCell ref="A26:A27"/>
    <mergeCell ref="A28:A29"/>
    <mergeCell ref="A30:A31"/>
    <mergeCell ref="E30:G31"/>
    <mergeCell ref="A32:A33"/>
    <mergeCell ref="A38:J38"/>
    <mergeCell ref="A39:A40"/>
    <mergeCell ref="H39:J40"/>
    <mergeCell ref="A41:A42"/>
    <mergeCell ref="H41:J42"/>
    <mergeCell ref="A15:A16"/>
    <mergeCell ref="K15:L16"/>
    <mergeCell ref="A21:A23"/>
    <mergeCell ref="B21:B22"/>
    <mergeCell ref="C21:C22"/>
    <mergeCell ref="D21:D22"/>
    <mergeCell ref="E21:G22"/>
    <mergeCell ref="A9:A10"/>
    <mergeCell ref="K9:L10"/>
    <mergeCell ref="A11:A12"/>
    <mergeCell ref="K11:L12"/>
    <mergeCell ref="A13:A14"/>
    <mergeCell ref="K13:L14"/>
    <mergeCell ref="A7:A8"/>
    <mergeCell ref="K7:L8"/>
    <mergeCell ref="A3:L3"/>
    <mergeCell ref="A4:A6"/>
    <mergeCell ref="B4:G4"/>
    <mergeCell ref="H4:J4"/>
    <mergeCell ref="K4:L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DD6B-A9FC-4EA7-9696-45A0F856F135}">
  <dimension ref="A1:H64"/>
  <sheetViews>
    <sheetView workbookViewId="0">
      <pane xSplit="1" ySplit="3" topLeftCell="B28" activePane="bottomRight" state="frozen"/>
      <selection pane="bottomLeft" activeCell="A4" sqref="A4"/>
      <selection pane="topRight" activeCell="B1" sqref="B1"/>
      <selection pane="bottomRight" activeCell="F52" sqref="F52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16.9492187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8" ht="18.75" x14ac:dyDescent="0.25">
      <c r="A1" s="1" t="s">
        <v>0</v>
      </c>
    </row>
    <row r="3" spans="1:8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8" x14ac:dyDescent="0.2">
      <c r="A4" s="376">
        <v>46160</v>
      </c>
      <c r="B4" s="8" t="s">
        <v>9</v>
      </c>
      <c r="C4" s="8" t="s">
        <v>326</v>
      </c>
      <c r="D4" s="8" t="s">
        <v>1222</v>
      </c>
      <c r="E4" s="172">
        <v>0.41666666666666669</v>
      </c>
      <c r="F4" s="174">
        <v>0.40277777777777779</v>
      </c>
      <c r="G4" s="173" t="s">
        <v>18</v>
      </c>
      <c r="H4" s="98"/>
    </row>
    <row r="5" spans="1:8" x14ac:dyDescent="0.2">
      <c r="A5" s="376"/>
      <c r="B5" s="8" t="s">
        <v>14</v>
      </c>
      <c r="C5" s="8" t="s">
        <v>320</v>
      </c>
      <c r="D5" s="8" t="s">
        <v>321</v>
      </c>
      <c r="E5" s="172">
        <v>0.54166666666666663</v>
      </c>
      <c r="F5" s="175">
        <v>0.56041666666666667</v>
      </c>
      <c r="G5" s="47" t="s">
        <v>13</v>
      </c>
      <c r="H5" s="98" t="s">
        <v>1660</v>
      </c>
    </row>
    <row r="6" spans="1:8" x14ac:dyDescent="0.2">
      <c r="A6" s="376"/>
      <c r="B6" s="8" t="s">
        <v>20</v>
      </c>
      <c r="C6" s="10"/>
      <c r="D6" s="10"/>
      <c r="E6" s="172">
        <v>0.66666666666666663</v>
      </c>
      <c r="F6" s="174"/>
      <c r="G6" s="176"/>
      <c r="H6" s="98"/>
    </row>
    <row r="7" spans="1:8" x14ac:dyDescent="0.2">
      <c r="A7" s="376"/>
      <c r="B7" s="8" t="s">
        <v>22</v>
      </c>
      <c r="C7" s="8" t="s">
        <v>305</v>
      </c>
      <c r="D7" s="8" t="s">
        <v>306</v>
      </c>
      <c r="E7" s="172">
        <v>0.70833333333333337</v>
      </c>
      <c r="F7" s="175">
        <v>0.73055555555555551</v>
      </c>
      <c r="G7" s="47" t="s">
        <v>13</v>
      </c>
      <c r="H7" s="98"/>
    </row>
    <row r="8" spans="1:8" x14ac:dyDescent="0.2">
      <c r="A8" s="376"/>
      <c r="B8" s="8" t="s">
        <v>26</v>
      </c>
      <c r="C8" s="8" t="s">
        <v>307</v>
      </c>
      <c r="D8" s="8" t="s">
        <v>308</v>
      </c>
      <c r="E8" s="172">
        <v>0.66666666666666663</v>
      </c>
      <c r="F8" s="175">
        <v>0.6694444444444444</v>
      </c>
      <c r="G8" s="47" t="s">
        <v>13</v>
      </c>
      <c r="H8" s="98" t="s">
        <v>1661</v>
      </c>
    </row>
    <row r="9" spans="1:8" x14ac:dyDescent="0.2">
      <c r="A9" s="376"/>
      <c r="B9" s="8" t="s">
        <v>26</v>
      </c>
      <c r="C9" s="8" t="s">
        <v>336</v>
      </c>
      <c r="D9" s="8" t="s">
        <v>561</v>
      </c>
      <c r="E9" s="172">
        <v>0.66666666666666663</v>
      </c>
      <c r="F9" s="174">
        <v>0.6479166666666667</v>
      </c>
      <c r="G9" s="173" t="s">
        <v>18</v>
      </c>
      <c r="H9" s="98"/>
    </row>
    <row r="10" spans="1:8" x14ac:dyDescent="0.2">
      <c r="A10" s="376"/>
      <c r="B10" s="8" t="s">
        <v>26</v>
      </c>
      <c r="C10" s="8" t="s">
        <v>311</v>
      </c>
      <c r="D10" s="8" t="s">
        <v>312</v>
      </c>
      <c r="E10" s="172">
        <v>0.66666666666666663</v>
      </c>
      <c r="F10" s="174">
        <v>0.55486111111111114</v>
      </c>
      <c r="G10" s="173" t="s">
        <v>18</v>
      </c>
      <c r="H10" s="98"/>
    </row>
    <row r="11" spans="1:8" x14ac:dyDescent="0.2">
      <c r="A11" s="376"/>
      <c r="B11" s="8" t="s">
        <v>26</v>
      </c>
      <c r="C11" s="8" t="s">
        <v>318</v>
      </c>
      <c r="D11" s="8" t="s">
        <v>1662</v>
      </c>
      <c r="E11" s="172">
        <v>0.66666666666666663</v>
      </c>
      <c r="F11" s="175">
        <v>0.77708333333333335</v>
      </c>
      <c r="G11" s="47" t="s">
        <v>13</v>
      </c>
      <c r="H11" s="98" t="s">
        <v>1663</v>
      </c>
    </row>
    <row r="12" spans="1:8" x14ac:dyDescent="0.2">
      <c r="A12" s="376"/>
      <c r="B12" s="8" t="s">
        <v>26</v>
      </c>
      <c r="C12" s="8" t="s">
        <v>1027</v>
      </c>
      <c r="D12" s="8" t="s">
        <v>314</v>
      </c>
      <c r="E12" s="172">
        <v>0.66666666666666663</v>
      </c>
      <c r="F12" s="174">
        <v>0.64722222222222225</v>
      </c>
      <c r="G12" s="173" t="s">
        <v>18</v>
      </c>
      <c r="H12" s="98"/>
    </row>
    <row r="13" spans="1:8" x14ac:dyDescent="0.2">
      <c r="A13" s="376"/>
      <c r="B13" s="8" t="s">
        <v>1443</v>
      </c>
      <c r="C13" s="8" t="s">
        <v>563</v>
      </c>
      <c r="D13" s="8" t="s">
        <v>792</v>
      </c>
      <c r="E13" s="172">
        <v>0.66666666666666663</v>
      </c>
      <c r="F13" s="174">
        <v>0.61875000000000002</v>
      </c>
      <c r="G13" s="173" t="s">
        <v>18</v>
      </c>
      <c r="H13" s="98"/>
    </row>
    <row r="14" spans="1:8" x14ac:dyDescent="0.2">
      <c r="A14" s="376"/>
      <c r="B14" s="8" t="s">
        <v>1443</v>
      </c>
      <c r="C14" s="8"/>
      <c r="D14" s="8"/>
      <c r="E14" s="172">
        <v>0.66666666666666663</v>
      </c>
      <c r="F14" s="171"/>
      <c r="G14" s="159"/>
      <c r="H14" s="98"/>
    </row>
    <row r="15" spans="1:8" x14ac:dyDescent="0.2">
      <c r="A15" s="120"/>
      <c r="G15" s="161"/>
    </row>
    <row r="16" spans="1:8" x14ac:dyDescent="0.2">
      <c r="A16" s="376">
        <v>46161</v>
      </c>
      <c r="B16" s="8" t="s">
        <v>315</v>
      </c>
      <c r="C16" s="8" t="s">
        <v>303</v>
      </c>
      <c r="D16" s="8" t="s">
        <v>1664</v>
      </c>
      <c r="E16" s="172">
        <v>0.41666666666666669</v>
      </c>
      <c r="F16" s="175">
        <v>0.43611111111111112</v>
      </c>
      <c r="G16" s="47" t="s">
        <v>13</v>
      </c>
      <c r="H16" s="98" t="s">
        <v>1665</v>
      </c>
    </row>
    <row r="17" spans="1:8" x14ac:dyDescent="0.2">
      <c r="A17" s="376"/>
      <c r="B17" s="8" t="s">
        <v>315</v>
      </c>
      <c r="C17" s="8" t="s">
        <v>305</v>
      </c>
      <c r="D17" s="8" t="s">
        <v>306</v>
      </c>
      <c r="E17" s="172">
        <v>0.54166666666666663</v>
      </c>
      <c r="F17" s="174">
        <v>0.38819444444444445</v>
      </c>
      <c r="G17" s="173" t="s">
        <v>18</v>
      </c>
      <c r="H17" s="98"/>
    </row>
    <row r="18" spans="1:8" x14ac:dyDescent="0.2">
      <c r="A18" s="376"/>
      <c r="B18" s="8" t="s">
        <v>14</v>
      </c>
      <c r="C18" s="8" t="s">
        <v>320</v>
      </c>
      <c r="D18" s="8" t="s">
        <v>321</v>
      </c>
      <c r="E18" s="172">
        <v>0.54166666666666663</v>
      </c>
      <c r="F18" s="174">
        <v>0.5395833333333333</v>
      </c>
      <c r="G18" s="173" t="s">
        <v>18</v>
      </c>
      <c r="H18" s="98"/>
    </row>
    <row r="19" spans="1:8" x14ac:dyDescent="0.2">
      <c r="A19" s="376"/>
      <c r="B19" s="8" t="s">
        <v>20</v>
      </c>
      <c r="C19" s="10"/>
      <c r="D19" s="10"/>
      <c r="E19" s="172">
        <v>0.70833333333333337</v>
      </c>
      <c r="F19" s="174"/>
      <c r="G19" s="160"/>
      <c r="H19" s="98"/>
    </row>
    <row r="20" spans="1:8" x14ac:dyDescent="0.2">
      <c r="A20" s="376"/>
      <c r="B20" s="8" t="s">
        <v>22</v>
      </c>
      <c r="C20" s="8" t="s">
        <v>326</v>
      </c>
      <c r="D20" s="8" t="s">
        <v>322</v>
      </c>
      <c r="E20" s="172">
        <v>0.70833333333333337</v>
      </c>
      <c r="F20" s="177">
        <v>0.69861111111111107</v>
      </c>
      <c r="G20" s="173" t="s">
        <v>18</v>
      </c>
      <c r="H20" s="98"/>
    </row>
    <row r="21" spans="1:8" x14ac:dyDescent="0.2">
      <c r="A21" s="376"/>
      <c r="B21" s="8" t="s">
        <v>26</v>
      </c>
      <c r="C21" s="8" t="s">
        <v>309</v>
      </c>
      <c r="D21" s="8" t="s">
        <v>310</v>
      </c>
      <c r="E21" s="172">
        <v>0.66666666666666663</v>
      </c>
      <c r="F21" s="175">
        <v>0.6694444444444444</v>
      </c>
      <c r="G21" s="47" t="s">
        <v>13</v>
      </c>
      <c r="H21" s="98" t="s">
        <v>1666</v>
      </c>
    </row>
    <row r="22" spans="1:8" x14ac:dyDescent="0.2">
      <c r="A22" s="376"/>
      <c r="B22" s="8" t="s">
        <v>26</v>
      </c>
      <c r="C22" s="8" t="s">
        <v>1027</v>
      </c>
      <c r="D22" s="8" t="s">
        <v>314</v>
      </c>
      <c r="E22" s="172">
        <v>0.66666666666666663</v>
      </c>
      <c r="F22" s="174">
        <v>0.62916666666666665</v>
      </c>
      <c r="G22" s="173" t="s">
        <v>18</v>
      </c>
      <c r="H22" s="98"/>
    </row>
    <row r="23" spans="1:8" x14ac:dyDescent="0.2">
      <c r="A23" s="376"/>
      <c r="B23" s="8" t="s">
        <v>26</v>
      </c>
      <c r="C23" s="8"/>
      <c r="D23" s="8"/>
      <c r="E23" s="172">
        <v>0.66666666666666663</v>
      </c>
      <c r="F23" s="174"/>
      <c r="G23" s="159"/>
      <c r="H23" s="98"/>
    </row>
    <row r="24" spans="1:8" x14ac:dyDescent="0.2">
      <c r="A24" s="376"/>
      <c r="B24" s="8" t="s">
        <v>1443</v>
      </c>
      <c r="C24" s="8" t="s">
        <v>1667</v>
      </c>
      <c r="D24" s="8" t="s">
        <v>1668</v>
      </c>
      <c r="E24" s="172">
        <v>0.66666666666666663</v>
      </c>
      <c r="F24" s="174">
        <v>0.62916666666666665</v>
      </c>
      <c r="G24" s="173" t="s">
        <v>18</v>
      </c>
      <c r="H24" s="98"/>
    </row>
    <row r="25" spans="1:8" x14ac:dyDescent="0.2">
      <c r="A25" s="376"/>
      <c r="B25" s="8" t="s">
        <v>1443</v>
      </c>
      <c r="C25" s="8"/>
      <c r="D25" s="8"/>
      <c r="E25" s="172">
        <v>0.66666666666666663</v>
      </c>
      <c r="F25" s="174"/>
      <c r="G25" s="159"/>
      <c r="H25" s="98"/>
    </row>
    <row r="26" spans="1:8" x14ac:dyDescent="0.2">
      <c r="A26" s="120"/>
      <c r="F26" s="113"/>
      <c r="G26" s="161"/>
    </row>
    <row r="27" spans="1:8" x14ac:dyDescent="0.2">
      <c r="A27" s="276">
        <v>46162</v>
      </c>
      <c r="B27" s="8" t="s">
        <v>1669</v>
      </c>
      <c r="C27" s="8" t="s">
        <v>1035</v>
      </c>
      <c r="D27" s="8" t="s">
        <v>1670</v>
      </c>
      <c r="E27" s="172">
        <v>0.375</v>
      </c>
      <c r="F27" s="177">
        <v>0.36458333333333331</v>
      </c>
      <c r="G27" s="173" t="s">
        <v>18</v>
      </c>
      <c r="H27" s="98"/>
    </row>
    <row r="28" spans="1:8" x14ac:dyDescent="0.2">
      <c r="A28" s="276"/>
      <c r="B28" s="8" t="s">
        <v>9</v>
      </c>
      <c r="C28" s="8" t="s">
        <v>326</v>
      </c>
      <c r="D28" s="8" t="s">
        <v>1671</v>
      </c>
      <c r="E28" s="172">
        <v>0.41666666666666669</v>
      </c>
      <c r="F28" s="177">
        <v>0.35694444444444445</v>
      </c>
      <c r="G28" s="173" t="s">
        <v>18</v>
      </c>
      <c r="H28" s="98"/>
    </row>
    <row r="29" spans="1:8" x14ac:dyDescent="0.2">
      <c r="A29" s="276"/>
      <c r="B29" s="8" t="s">
        <v>14</v>
      </c>
      <c r="C29" s="8" t="s">
        <v>320</v>
      </c>
      <c r="D29" s="8" t="s">
        <v>321</v>
      </c>
      <c r="E29" s="172">
        <v>0.54166666666666663</v>
      </c>
      <c r="F29" s="177">
        <v>0.54166666666666663</v>
      </c>
      <c r="G29" s="173" t="s">
        <v>18</v>
      </c>
      <c r="H29" s="98"/>
    </row>
    <row r="30" spans="1:8" x14ac:dyDescent="0.2">
      <c r="A30" s="276"/>
      <c r="B30" s="8" t="s">
        <v>20</v>
      </c>
      <c r="C30" s="8"/>
      <c r="D30" s="8"/>
      <c r="E30" s="172">
        <v>0.66666666666666663</v>
      </c>
      <c r="F30" s="177"/>
      <c r="G30" s="161"/>
      <c r="H30" s="98"/>
    </row>
    <row r="31" spans="1:8" x14ac:dyDescent="0.2">
      <c r="A31" s="276"/>
      <c r="B31" s="8" t="s">
        <v>22</v>
      </c>
      <c r="C31" s="8" t="s">
        <v>305</v>
      </c>
      <c r="D31" s="8" t="s">
        <v>306</v>
      </c>
      <c r="E31" s="172">
        <v>0.70833333333333337</v>
      </c>
      <c r="F31" s="177">
        <v>0.6645833333333333</v>
      </c>
      <c r="G31" s="173" t="s">
        <v>18</v>
      </c>
      <c r="H31" s="98"/>
    </row>
    <row r="32" spans="1:8" x14ac:dyDescent="0.2">
      <c r="A32" s="276"/>
      <c r="B32" s="8" t="s">
        <v>26</v>
      </c>
      <c r="C32" s="8" t="s">
        <v>307</v>
      </c>
      <c r="D32" s="8" t="s">
        <v>308</v>
      </c>
      <c r="E32" s="172">
        <v>0.70833333333333337</v>
      </c>
      <c r="F32" s="177">
        <v>0.65138888888888891</v>
      </c>
      <c r="G32" s="173" t="s">
        <v>18</v>
      </c>
      <c r="H32" s="98"/>
    </row>
    <row r="33" spans="1:8" x14ac:dyDescent="0.2">
      <c r="A33" s="276"/>
      <c r="B33" s="8" t="s">
        <v>26</v>
      </c>
      <c r="C33" s="8" t="s">
        <v>328</v>
      </c>
      <c r="D33" s="8" t="s">
        <v>329</v>
      </c>
      <c r="E33" s="172">
        <v>0.66666666666666663</v>
      </c>
      <c r="F33" s="177">
        <v>0.65972222222222221</v>
      </c>
      <c r="G33" s="173" t="s">
        <v>18</v>
      </c>
      <c r="H33" s="98"/>
    </row>
    <row r="34" spans="1:8" x14ac:dyDescent="0.2">
      <c r="A34" s="276"/>
      <c r="B34" s="8" t="s">
        <v>26</v>
      </c>
      <c r="C34" s="8"/>
      <c r="D34" s="8"/>
      <c r="E34" s="172">
        <v>0.66666666666666663</v>
      </c>
      <c r="F34" s="177"/>
      <c r="G34" s="159"/>
      <c r="H34" s="98"/>
    </row>
    <row r="35" spans="1:8" x14ac:dyDescent="0.2">
      <c r="A35" s="276"/>
      <c r="B35" s="8" t="s">
        <v>1443</v>
      </c>
      <c r="C35" s="8" t="s">
        <v>550</v>
      </c>
      <c r="D35" s="8" t="s">
        <v>1672</v>
      </c>
      <c r="E35" s="172">
        <v>0.66666666666666663</v>
      </c>
      <c r="F35" s="177">
        <v>0.65833333333333333</v>
      </c>
      <c r="G35" s="173" t="s">
        <v>18</v>
      </c>
      <c r="H35" s="153"/>
    </row>
    <row r="36" spans="1:8" x14ac:dyDescent="0.2">
      <c r="A36" s="276"/>
      <c r="B36" s="8" t="s">
        <v>1443</v>
      </c>
      <c r="C36" s="8" t="s">
        <v>309</v>
      </c>
      <c r="D36" s="8" t="s">
        <v>310</v>
      </c>
      <c r="E36" s="172">
        <v>0.66666666666666663</v>
      </c>
      <c r="F36" s="175">
        <v>0.74097222222222225</v>
      </c>
      <c r="G36" s="47" t="s">
        <v>13</v>
      </c>
      <c r="H36" s="153" t="s">
        <v>1673</v>
      </c>
    </row>
    <row r="37" spans="1:8" x14ac:dyDescent="0.2">
      <c r="A37" s="120"/>
      <c r="E37" s="177"/>
      <c r="F37" s="177"/>
      <c r="G37" s="161"/>
      <c r="H37" s="154"/>
    </row>
    <row r="38" spans="1:8" x14ac:dyDescent="0.2">
      <c r="A38" s="376">
        <v>46163</v>
      </c>
      <c r="B38" s="8" t="s">
        <v>9</v>
      </c>
      <c r="C38" s="8" t="s">
        <v>1026</v>
      </c>
      <c r="D38" s="8" t="s">
        <v>569</v>
      </c>
      <c r="E38" s="172">
        <v>0.41666666666666669</v>
      </c>
      <c r="F38" s="177"/>
      <c r="G38" s="159"/>
      <c r="H38" s="153"/>
    </row>
    <row r="39" spans="1:8" x14ac:dyDescent="0.2">
      <c r="A39" s="377"/>
      <c r="B39" s="8" t="s">
        <v>9</v>
      </c>
      <c r="C39" s="8" t="s">
        <v>305</v>
      </c>
      <c r="D39" s="8" t="s">
        <v>306</v>
      </c>
      <c r="E39" s="172">
        <v>0.41666666666666669</v>
      </c>
      <c r="F39" s="177">
        <v>0.37916666666666665</v>
      </c>
      <c r="G39" s="173" t="s">
        <v>18</v>
      </c>
      <c r="H39" s="153"/>
    </row>
    <row r="40" spans="1:8" x14ac:dyDescent="0.2">
      <c r="A40" s="377"/>
      <c r="B40" s="8" t="s">
        <v>14</v>
      </c>
      <c r="C40" s="8" t="s">
        <v>318</v>
      </c>
      <c r="D40" s="8" t="s">
        <v>789</v>
      </c>
      <c r="E40" s="172">
        <v>0.54166666666666663</v>
      </c>
      <c r="F40" s="175">
        <v>0.59027777777777779</v>
      </c>
      <c r="G40" s="47" t="s">
        <v>13</v>
      </c>
      <c r="H40" s="153" t="s">
        <v>1674</v>
      </c>
    </row>
    <row r="41" spans="1:8" x14ac:dyDescent="0.2">
      <c r="A41" s="377"/>
      <c r="B41" s="8" t="s">
        <v>20</v>
      </c>
      <c r="C41" s="8" t="s">
        <v>320</v>
      </c>
      <c r="D41" s="8" t="s">
        <v>321</v>
      </c>
      <c r="E41" s="172">
        <v>0.70833333333333337</v>
      </c>
      <c r="F41" s="177">
        <v>0.70138888888888884</v>
      </c>
      <c r="G41" s="173" t="s">
        <v>18</v>
      </c>
      <c r="H41" s="153"/>
    </row>
    <row r="42" spans="1:8" x14ac:dyDescent="0.2">
      <c r="A42" s="377"/>
      <c r="B42" s="8" t="s">
        <v>22</v>
      </c>
      <c r="C42" s="8" t="s">
        <v>326</v>
      </c>
      <c r="D42" s="8" t="s">
        <v>1675</v>
      </c>
      <c r="E42" s="172">
        <v>0.70833333333333337</v>
      </c>
      <c r="F42" s="177">
        <v>0.68541666666666667</v>
      </c>
      <c r="G42" s="173" t="s">
        <v>18</v>
      </c>
      <c r="H42" s="153"/>
    </row>
    <row r="43" spans="1:8" x14ac:dyDescent="0.2">
      <c r="A43" s="377"/>
      <c r="B43" s="8" t="s">
        <v>26</v>
      </c>
      <c r="C43" s="8" t="s">
        <v>563</v>
      </c>
      <c r="D43" s="8" t="s">
        <v>1676</v>
      </c>
      <c r="E43" s="172">
        <v>0.66666666666666663</v>
      </c>
      <c r="F43" s="175">
        <v>0.7</v>
      </c>
      <c r="G43" s="47" t="s">
        <v>13</v>
      </c>
      <c r="H43" s="153" t="s">
        <v>1677</v>
      </c>
    </row>
    <row r="44" spans="1:8" x14ac:dyDescent="0.2">
      <c r="A44" s="377"/>
      <c r="B44" s="8" t="s">
        <v>26</v>
      </c>
      <c r="C44" s="8" t="s">
        <v>1027</v>
      </c>
      <c r="D44" s="8" t="s">
        <v>314</v>
      </c>
      <c r="E44" s="172">
        <v>0.66666666666666663</v>
      </c>
      <c r="F44" s="177">
        <v>0.64236111111111116</v>
      </c>
      <c r="G44" s="173" t="s">
        <v>18</v>
      </c>
      <c r="H44" s="153"/>
    </row>
    <row r="45" spans="1:8" x14ac:dyDescent="0.2">
      <c r="A45" s="377"/>
      <c r="B45" s="8" t="s">
        <v>26</v>
      </c>
      <c r="C45" s="8"/>
      <c r="D45" s="8"/>
      <c r="E45" s="172">
        <v>0.66666666666666663</v>
      </c>
      <c r="F45" s="177"/>
      <c r="G45" s="159"/>
      <c r="H45" s="153"/>
    </row>
    <row r="46" spans="1:8" x14ac:dyDescent="0.2">
      <c r="A46" s="377"/>
      <c r="B46" s="8" t="s">
        <v>26</v>
      </c>
      <c r="C46" s="8"/>
      <c r="D46" s="8"/>
      <c r="E46" s="172">
        <v>0.66666666666666663</v>
      </c>
      <c r="F46" s="174"/>
      <c r="G46" s="162"/>
      <c r="H46" s="153"/>
    </row>
    <row r="47" spans="1:8" x14ac:dyDescent="0.2">
      <c r="A47" s="377"/>
      <c r="B47" s="8" t="s">
        <v>1443</v>
      </c>
      <c r="C47" s="8" t="s">
        <v>303</v>
      </c>
      <c r="D47" s="8" t="s">
        <v>325</v>
      </c>
      <c r="E47" s="172">
        <v>0.66666666666666663</v>
      </c>
      <c r="F47" s="175">
        <v>0.70902777777777781</v>
      </c>
      <c r="G47" s="47" t="s">
        <v>13</v>
      </c>
      <c r="H47" s="153" t="s">
        <v>1678</v>
      </c>
    </row>
    <row r="48" spans="1:8" x14ac:dyDescent="0.2">
      <c r="A48" s="378"/>
      <c r="B48" s="8" t="s">
        <v>1443</v>
      </c>
      <c r="C48" s="8"/>
      <c r="D48" s="8"/>
      <c r="E48" s="172">
        <v>0.66666666666666663</v>
      </c>
      <c r="F48" s="174"/>
      <c r="G48" s="162"/>
      <c r="H48" s="153"/>
    </row>
    <row r="49" spans="1:8" x14ac:dyDescent="0.2">
      <c r="A49" s="120"/>
      <c r="F49" s="113"/>
      <c r="G49" s="161"/>
      <c r="H49" s="154"/>
    </row>
    <row r="50" spans="1:8" x14ac:dyDescent="0.2">
      <c r="A50" s="376">
        <v>46164</v>
      </c>
      <c r="B50" s="8" t="s">
        <v>9</v>
      </c>
      <c r="C50" s="8" t="s">
        <v>326</v>
      </c>
      <c r="D50" s="8" t="s">
        <v>1223</v>
      </c>
      <c r="E50" s="172">
        <v>0.41666666666666669</v>
      </c>
      <c r="F50" s="177">
        <v>0.39583333333333331</v>
      </c>
      <c r="G50" s="173" t="s">
        <v>18</v>
      </c>
      <c r="H50" s="153"/>
    </row>
    <row r="51" spans="1:8" x14ac:dyDescent="0.2">
      <c r="A51" s="377"/>
      <c r="B51" s="8" t="s">
        <v>14</v>
      </c>
      <c r="C51" s="8" t="s">
        <v>320</v>
      </c>
      <c r="D51" s="8" t="s">
        <v>321</v>
      </c>
      <c r="E51" s="172">
        <v>0.54166666666666663</v>
      </c>
      <c r="F51" s="177">
        <v>0.34861111111111109</v>
      </c>
      <c r="G51" s="173" t="s">
        <v>18</v>
      </c>
      <c r="H51" s="153"/>
    </row>
    <row r="52" spans="1:8" x14ac:dyDescent="0.2">
      <c r="A52" s="377"/>
      <c r="B52" s="8" t="s">
        <v>20</v>
      </c>
      <c r="C52" s="8"/>
      <c r="D52" s="8"/>
      <c r="E52" s="172">
        <v>0.66666666666666663</v>
      </c>
      <c r="F52" s="177"/>
      <c r="G52" s="159"/>
      <c r="H52" s="153"/>
    </row>
    <row r="53" spans="1:8" x14ac:dyDescent="0.2">
      <c r="A53" s="377"/>
      <c r="B53" s="8" t="s">
        <v>22</v>
      </c>
      <c r="C53" s="8" t="s">
        <v>305</v>
      </c>
      <c r="D53" s="8" t="s">
        <v>306</v>
      </c>
      <c r="E53" s="172">
        <v>0.70833333333333337</v>
      </c>
      <c r="F53" s="177">
        <v>0.58402777777777781</v>
      </c>
      <c r="G53" s="173" t="s">
        <v>18</v>
      </c>
      <c r="H53" s="153"/>
    </row>
    <row r="54" spans="1:8" x14ac:dyDescent="0.2">
      <c r="A54" s="377"/>
      <c r="B54" s="8" t="s">
        <v>26</v>
      </c>
      <c r="C54" s="8" t="s">
        <v>318</v>
      </c>
      <c r="D54" s="8" t="s">
        <v>789</v>
      </c>
      <c r="E54" s="172">
        <v>0.66666666666666663</v>
      </c>
      <c r="F54" s="175">
        <v>0.68680555555555556</v>
      </c>
      <c r="G54" s="47" t="s">
        <v>13</v>
      </c>
      <c r="H54" s="153" t="s">
        <v>1955</v>
      </c>
    </row>
    <row r="55" spans="1:8" x14ac:dyDescent="0.2">
      <c r="A55" s="377"/>
      <c r="B55" s="8" t="s">
        <v>26</v>
      </c>
      <c r="C55" s="8" t="s">
        <v>1679</v>
      </c>
      <c r="D55" s="8" t="s">
        <v>1680</v>
      </c>
      <c r="E55" s="172">
        <v>0.66666666666666663</v>
      </c>
      <c r="F55" s="177">
        <v>0.56666666666666665</v>
      </c>
      <c r="G55" s="173" t="s">
        <v>18</v>
      </c>
      <c r="H55" s="153"/>
    </row>
    <row r="56" spans="1:8" x14ac:dyDescent="0.2">
      <c r="A56" s="377"/>
      <c r="B56" s="8" t="s">
        <v>26</v>
      </c>
      <c r="C56" s="8" t="s">
        <v>793</v>
      </c>
      <c r="D56" s="8" t="s">
        <v>1029</v>
      </c>
      <c r="E56" s="172">
        <v>0.66666666666666663</v>
      </c>
      <c r="F56" s="177">
        <v>0.60486111111111107</v>
      </c>
      <c r="G56" s="173" t="s">
        <v>18</v>
      </c>
      <c r="H56" s="153"/>
    </row>
    <row r="57" spans="1:8" x14ac:dyDescent="0.2">
      <c r="A57" s="377"/>
      <c r="B57" s="8" t="s">
        <v>26</v>
      </c>
      <c r="C57" s="8"/>
      <c r="D57" s="8"/>
      <c r="E57" s="172">
        <v>0.66666666666666663</v>
      </c>
      <c r="F57" s="177"/>
      <c r="G57" s="160"/>
      <c r="H57" s="153"/>
    </row>
    <row r="58" spans="1:8" x14ac:dyDescent="0.2">
      <c r="A58" s="377"/>
      <c r="B58" s="8" t="s">
        <v>1443</v>
      </c>
      <c r="C58" s="8" t="s">
        <v>309</v>
      </c>
      <c r="D58" s="8" t="s">
        <v>310</v>
      </c>
      <c r="E58" s="172">
        <v>0.66666666666666663</v>
      </c>
      <c r="F58" s="177">
        <v>0.65</v>
      </c>
      <c r="G58" s="173" t="s">
        <v>18</v>
      </c>
      <c r="H58" s="153"/>
    </row>
    <row r="59" spans="1:8" x14ac:dyDescent="0.2">
      <c r="A59" s="378"/>
      <c r="B59" s="8" t="s">
        <v>1443</v>
      </c>
      <c r="C59" s="8"/>
      <c r="D59" s="8"/>
      <c r="E59" s="172">
        <v>0.66666666666666663</v>
      </c>
      <c r="F59" s="177"/>
      <c r="G59" s="160"/>
      <c r="H59" s="153"/>
    </row>
    <row r="61" spans="1:8" x14ac:dyDescent="0.2">
      <c r="A61" s="96" t="s">
        <v>1228</v>
      </c>
      <c r="B61" s="386">
        <v>38</v>
      </c>
      <c r="C61" s="387"/>
    </row>
    <row r="62" spans="1:8" x14ac:dyDescent="0.2">
      <c r="A62" s="96" t="s">
        <v>1229</v>
      </c>
      <c r="B62" s="78">
        <v>27</v>
      </c>
      <c r="C62" s="179">
        <f>B62/B61</f>
        <v>0.71052631578947367</v>
      </c>
    </row>
    <row r="63" spans="1:8" x14ac:dyDescent="0.2">
      <c r="A63" s="96" t="s">
        <v>1230</v>
      </c>
      <c r="B63" s="97">
        <v>11</v>
      </c>
      <c r="C63" s="180">
        <f>B63/B61</f>
        <v>0.28947368421052633</v>
      </c>
    </row>
    <row r="64" spans="1:8" x14ac:dyDescent="0.2">
      <c r="B64" s="141"/>
    </row>
  </sheetData>
  <autoFilter ref="A3:H14" xr:uid="{007222C0-65E8-4432-AB3E-97A35AC12FA3}"/>
  <mergeCells count="6">
    <mergeCell ref="B61:C61"/>
    <mergeCell ref="A4:A14"/>
    <mergeCell ref="A16:A25"/>
    <mergeCell ref="A38:A48"/>
    <mergeCell ref="A50:A59"/>
    <mergeCell ref="A27:A36"/>
  </mergeCells>
  <conditionalFormatting sqref="E37">
    <cfRule type="expression" dxfId="26" priority="5">
      <formula>AND(E37&lt;=D37,E37&lt;&gt;"")</formula>
    </cfRule>
    <cfRule type="expression" dxfId="25" priority="6">
      <formula>E37&gt;D37</formula>
    </cfRule>
  </conditionalFormatting>
  <conditionalFormatting sqref="F4:F14">
    <cfRule type="expression" dxfId="24" priority="9">
      <formula>AND(F4&lt;=E4,F4&lt;&gt;"")</formula>
    </cfRule>
    <cfRule type="expression" dxfId="23" priority="10">
      <formula>F4&gt;E4</formula>
    </cfRule>
  </conditionalFormatting>
  <conditionalFormatting sqref="F16:F25">
    <cfRule type="expression" dxfId="22" priority="25">
      <formula>AND(F16&lt;=E16,F16&lt;&gt;"")</formula>
    </cfRule>
    <cfRule type="expression" dxfId="21" priority="26">
      <formula>F16&gt;E16</formula>
    </cfRule>
  </conditionalFormatting>
  <conditionalFormatting sqref="F27:F48">
    <cfRule type="expression" dxfId="20" priority="3">
      <formula>AND(F27&lt;=E27,F27&lt;&gt;"")</formula>
    </cfRule>
    <cfRule type="expression" dxfId="19" priority="4">
      <formula>F27&gt;E27</formula>
    </cfRule>
  </conditionalFormatting>
  <conditionalFormatting sqref="F50:F59">
    <cfRule type="expression" dxfId="18" priority="1">
      <formula>AND(F50&lt;=E50,F50&lt;&gt;"")</formula>
    </cfRule>
    <cfRule type="expression" dxfId="17" priority="2">
      <formula>F50&gt;E50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7FF5-C06A-4D70-A3BB-E5F60194F5F5}">
  <dimension ref="A1:O103"/>
  <sheetViews>
    <sheetView topLeftCell="E81" workbookViewId="0">
      <selection activeCell="J82" sqref="J82"/>
    </sheetView>
  </sheetViews>
  <sheetFormatPr defaultRowHeight="15" x14ac:dyDescent="0.2"/>
  <cols>
    <col min="1" max="1" width="24.078125" customWidth="1"/>
    <col min="2" max="2" width="20.58203125" style="2" customWidth="1"/>
    <col min="3" max="11" width="20.58203125" customWidth="1"/>
    <col min="12" max="12" width="58.91796875" customWidth="1"/>
    <col min="13" max="22" width="20.58203125" customWidth="1"/>
  </cols>
  <sheetData>
    <row r="1" spans="1:12" ht="18.75" x14ac:dyDescent="0.25">
      <c r="A1" s="1" t="s">
        <v>32</v>
      </c>
    </row>
    <row r="3" spans="1:12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</row>
    <row r="4" spans="1:12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 t="s">
        <v>22</v>
      </c>
      <c r="I4" s="281"/>
      <c r="J4" s="281"/>
      <c r="K4" s="282" t="s">
        <v>8</v>
      </c>
      <c r="L4" s="282"/>
    </row>
    <row r="5" spans="1:12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4" t="s">
        <v>35</v>
      </c>
      <c r="I5" s="5" t="s">
        <v>36</v>
      </c>
      <c r="J5" s="5" t="s">
        <v>37</v>
      </c>
      <c r="K5" s="282"/>
      <c r="L5" s="282"/>
    </row>
    <row r="6" spans="1:12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47</v>
      </c>
      <c r="J6" s="15" t="s">
        <v>47</v>
      </c>
      <c r="K6" s="282"/>
      <c r="L6" s="282"/>
    </row>
    <row r="7" spans="1:12" x14ac:dyDescent="0.2">
      <c r="A7" s="379">
        <v>46160</v>
      </c>
      <c r="B7" s="53" t="s">
        <v>1681</v>
      </c>
      <c r="C7" s="53" t="s">
        <v>1682</v>
      </c>
      <c r="D7" s="53" t="s">
        <v>1683</v>
      </c>
      <c r="E7" s="53"/>
      <c r="F7" s="53"/>
      <c r="G7" s="53"/>
      <c r="H7" s="53" t="s">
        <v>1684</v>
      </c>
      <c r="I7" s="53" t="s">
        <v>1685</v>
      </c>
      <c r="J7" s="53" t="s">
        <v>1685</v>
      </c>
      <c r="K7" s="277"/>
      <c r="L7" s="278"/>
    </row>
    <row r="8" spans="1:12" ht="69.95" customHeight="1" x14ac:dyDescent="0.2">
      <c r="A8" s="379"/>
      <c r="B8" s="9" t="s">
        <v>1686</v>
      </c>
      <c r="C8" s="9" t="s">
        <v>1687</v>
      </c>
      <c r="D8" s="9" t="s">
        <v>1688</v>
      </c>
      <c r="E8" s="9"/>
      <c r="F8" s="9"/>
      <c r="G8" s="9"/>
      <c r="H8" s="9">
        <v>8260100059</v>
      </c>
      <c r="I8" s="9">
        <v>8260100058</v>
      </c>
      <c r="J8" s="9">
        <v>8260100057</v>
      </c>
      <c r="K8" s="278"/>
      <c r="L8" s="278"/>
    </row>
    <row r="9" spans="1:12" x14ac:dyDescent="0.2">
      <c r="A9" s="276">
        <v>46161</v>
      </c>
      <c r="B9" s="51" t="s">
        <v>1689</v>
      </c>
      <c r="C9" s="51" t="s">
        <v>1690</v>
      </c>
      <c r="D9" s="51" t="s">
        <v>1690</v>
      </c>
      <c r="E9" s="53" t="s">
        <v>1691</v>
      </c>
      <c r="F9" s="53" t="s">
        <v>1692</v>
      </c>
      <c r="G9" s="53"/>
      <c r="H9" s="74" t="s">
        <v>1693</v>
      </c>
      <c r="I9" s="74" t="s">
        <v>1694</v>
      </c>
      <c r="J9" s="74" t="s">
        <v>1694</v>
      </c>
      <c r="K9" s="283" t="s">
        <v>1250</v>
      </c>
      <c r="L9" s="283"/>
    </row>
    <row r="10" spans="1:12" ht="68.25" x14ac:dyDescent="0.2">
      <c r="A10" s="276"/>
      <c r="B10" s="9" t="s">
        <v>1695</v>
      </c>
      <c r="C10" s="9" t="s">
        <v>1696</v>
      </c>
      <c r="D10" s="9">
        <v>8260100066</v>
      </c>
      <c r="E10" s="9" t="s">
        <v>1697</v>
      </c>
      <c r="F10" s="9">
        <v>8260100071</v>
      </c>
      <c r="G10" s="9"/>
      <c r="H10" s="9">
        <v>8260100125</v>
      </c>
      <c r="I10" s="9">
        <v>8260100124</v>
      </c>
      <c r="J10" s="9">
        <v>8260100126</v>
      </c>
      <c r="K10" s="283"/>
      <c r="L10" s="283"/>
    </row>
    <row r="11" spans="1:12" ht="15" customHeight="1" x14ac:dyDescent="0.2">
      <c r="A11" s="276">
        <v>46162</v>
      </c>
      <c r="B11" s="51" t="s">
        <v>1698</v>
      </c>
      <c r="C11" s="51" t="s">
        <v>1699</v>
      </c>
      <c r="D11" s="51" t="s">
        <v>1699</v>
      </c>
      <c r="E11" s="53"/>
      <c r="F11" s="53"/>
      <c r="G11" s="53"/>
      <c r="H11" s="74" t="s">
        <v>1700</v>
      </c>
      <c r="I11" s="56" t="s">
        <v>1701</v>
      </c>
      <c r="J11" s="56" t="s">
        <v>1701</v>
      </c>
      <c r="K11" s="278" t="s">
        <v>1250</v>
      </c>
      <c r="L11" s="278"/>
    </row>
    <row r="12" spans="1:12" ht="69.95" customHeight="1" x14ac:dyDescent="0.2">
      <c r="A12" s="276"/>
      <c r="B12" s="9" t="s">
        <v>1702</v>
      </c>
      <c r="C12" s="9" t="s">
        <v>1703</v>
      </c>
      <c r="D12" s="9" t="s">
        <v>1704</v>
      </c>
      <c r="E12" s="9"/>
      <c r="F12" s="9"/>
      <c r="G12" s="9"/>
      <c r="H12" s="9">
        <v>8260100205</v>
      </c>
      <c r="I12" s="9">
        <v>8260100204</v>
      </c>
      <c r="J12" s="9">
        <v>8260100203</v>
      </c>
      <c r="K12" s="278"/>
      <c r="L12" s="278"/>
    </row>
    <row r="13" spans="1:12" x14ac:dyDescent="0.2">
      <c r="A13" s="276">
        <v>46163</v>
      </c>
      <c r="B13" s="53" t="s">
        <v>1705</v>
      </c>
      <c r="C13" s="53" t="s">
        <v>1706</v>
      </c>
      <c r="D13" s="53" t="s">
        <v>1707</v>
      </c>
      <c r="E13" s="53" t="s">
        <v>1708</v>
      </c>
      <c r="F13" s="53" t="s">
        <v>1709</v>
      </c>
      <c r="G13" s="53"/>
      <c r="H13" s="74" t="s">
        <v>1710</v>
      </c>
      <c r="I13" s="56" t="s">
        <v>1711</v>
      </c>
      <c r="J13" s="56" t="s">
        <v>1711</v>
      </c>
      <c r="K13" s="278"/>
      <c r="L13" s="278"/>
    </row>
    <row r="14" spans="1:12" ht="69.95" customHeight="1" x14ac:dyDescent="0.2">
      <c r="A14" s="276"/>
      <c r="B14" s="9" t="s">
        <v>1712</v>
      </c>
      <c r="C14" s="9">
        <v>8260100223</v>
      </c>
      <c r="D14" s="9">
        <v>8260100222</v>
      </c>
      <c r="E14" s="9" t="s">
        <v>1713</v>
      </c>
      <c r="F14" s="7">
        <v>8260100218</v>
      </c>
      <c r="G14" s="7"/>
      <c r="H14" s="7">
        <v>8260100282</v>
      </c>
      <c r="I14" s="9">
        <v>8260100281</v>
      </c>
      <c r="J14" s="7">
        <v>8260100280</v>
      </c>
      <c r="K14" s="278"/>
      <c r="L14" s="278"/>
    </row>
    <row r="15" spans="1:12" ht="15" customHeight="1" x14ac:dyDescent="0.2">
      <c r="A15" s="276">
        <v>46164</v>
      </c>
      <c r="B15" s="51" t="s">
        <v>1944</v>
      </c>
      <c r="C15" s="51" t="s">
        <v>1947</v>
      </c>
      <c r="D15" s="51" t="s">
        <v>1947</v>
      </c>
      <c r="E15" s="53"/>
      <c r="F15" s="53"/>
      <c r="G15" s="53"/>
      <c r="H15" s="74" t="s">
        <v>1945</v>
      </c>
      <c r="I15" s="74" t="s">
        <v>1948</v>
      </c>
      <c r="J15" s="74" t="s">
        <v>1948</v>
      </c>
      <c r="K15" s="278" t="s">
        <v>1950</v>
      </c>
      <c r="L15" s="278"/>
    </row>
    <row r="16" spans="1:12" ht="69.95" customHeight="1" x14ac:dyDescent="0.2">
      <c r="A16" s="276"/>
      <c r="B16" s="9" t="s">
        <v>1943</v>
      </c>
      <c r="C16" s="9" t="s">
        <v>1946</v>
      </c>
      <c r="D16" s="9" t="s">
        <v>1949</v>
      </c>
      <c r="E16" s="9"/>
      <c r="F16" s="9"/>
      <c r="G16" s="9"/>
      <c r="H16" s="7">
        <v>8260100368</v>
      </c>
      <c r="I16" s="9">
        <v>8260100367</v>
      </c>
      <c r="J16" s="7">
        <v>8260100369</v>
      </c>
      <c r="K16" s="278"/>
      <c r="L16" s="278"/>
    </row>
    <row r="17" spans="1:12" x14ac:dyDescent="0.2">
      <c r="A17" s="157" t="s">
        <v>1274</v>
      </c>
      <c r="B17" s="143">
        <v>5</v>
      </c>
      <c r="C17" s="143">
        <v>5</v>
      </c>
      <c r="D17" s="143">
        <v>5</v>
      </c>
      <c r="E17" s="143">
        <v>2</v>
      </c>
      <c r="F17" s="143">
        <v>2</v>
      </c>
      <c r="G17" s="143">
        <v>0</v>
      </c>
      <c r="H17" s="3">
        <v>5</v>
      </c>
      <c r="I17" s="3">
        <v>5</v>
      </c>
      <c r="J17" s="3">
        <v>5</v>
      </c>
      <c r="K17" s="149">
        <f>SUM(B17:J17)</f>
        <v>34</v>
      </c>
      <c r="L17" s="144"/>
    </row>
    <row r="18" spans="1:12" x14ac:dyDescent="0.2">
      <c r="A18" s="157" t="s">
        <v>1275</v>
      </c>
      <c r="B18" s="143">
        <v>2</v>
      </c>
      <c r="C18" s="143">
        <v>2</v>
      </c>
      <c r="D18" s="143">
        <v>2</v>
      </c>
      <c r="E18" s="143">
        <v>2</v>
      </c>
      <c r="F18" s="143">
        <v>2</v>
      </c>
      <c r="G18" s="143">
        <v>0</v>
      </c>
      <c r="H18" s="3">
        <v>5</v>
      </c>
      <c r="I18" s="3">
        <v>5</v>
      </c>
      <c r="J18" s="3">
        <v>5</v>
      </c>
      <c r="K18" s="149">
        <f>SUM(B18:J18)</f>
        <v>25</v>
      </c>
      <c r="L18" s="144"/>
    </row>
    <row r="19" spans="1:12" x14ac:dyDescent="0.2">
      <c r="A19" s="158" t="s">
        <v>1276</v>
      </c>
      <c r="B19" s="148">
        <v>3</v>
      </c>
      <c r="C19" s="148">
        <v>3</v>
      </c>
      <c r="D19" s="148">
        <v>3</v>
      </c>
      <c r="E19" s="148">
        <v>0</v>
      </c>
      <c r="F19" s="148">
        <v>0</v>
      </c>
      <c r="G19" s="148">
        <v>0</v>
      </c>
      <c r="H19" s="147">
        <v>0</v>
      </c>
      <c r="I19" s="147">
        <v>0</v>
      </c>
      <c r="J19" s="147">
        <v>0</v>
      </c>
      <c r="K19" s="150">
        <f>SUM(B19:J19)</f>
        <v>9</v>
      </c>
    </row>
    <row r="20" spans="1:12" x14ac:dyDescent="0.2">
      <c r="C20" s="2"/>
      <c r="D20" s="2"/>
      <c r="E20" s="2"/>
      <c r="F20" s="2"/>
      <c r="G20" s="2"/>
    </row>
    <row r="21" spans="1:12" ht="15" customHeight="1" x14ac:dyDescent="0.2">
      <c r="A21" s="280" t="s">
        <v>34</v>
      </c>
      <c r="B21" s="286" t="s">
        <v>379</v>
      </c>
      <c r="C21" s="286" t="s">
        <v>83</v>
      </c>
      <c r="D21" s="286" t="s">
        <v>84</v>
      </c>
      <c r="E21" s="287" t="s">
        <v>8</v>
      </c>
      <c r="F21" s="287"/>
      <c r="G21" s="288"/>
    </row>
    <row r="22" spans="1:12" x14ac:dyDescent="0.2">
      <c r="A22" s="280"/>
      <c r="B22" s="286"/>
      <c r="C22" s="286"/>
      <c r="D22" s="286"/>
      <c r="E22" s="289"/>
      <c r="F22" s="289"/>
      <c r="G22" s="290"/>
    </row>
    <row r="23" spans="1:12" x14ac:dyDescent="0.2">
      <c r="A23" s="280"/>
      <c r="B23" s="14" t="s">
        <v>380</v>
      </c>
      <c r="C23" s="15" t="s">
        <v>381</v>
      </c>
      <c r="D23" s="15" t="s">
        <v>382</v>
      </c>
      <c r="E23" s="130"/>
      <c r="F23" s="130"/>
      <c r="G23" s="131"/>
    </row>
    <row r="24" spans="1:12" s="6" customFormat="1" x14ac:dyDescent="0.2">
      <c r="A24" s="379">
        <v>46160</v>
      </c>
      <c r="B24" s="74" t="s">
        <v>1714</v>
      </c>
      <c r="C24" s="53"/>
      <c r="D24" s="53"/>
      <c r="E24" s="163"/>
      <c r="F24" s="163"/>
      <c r="G24" s="164"/>
    </row>
    <row r="25" spans="1:12" s="6" customFormat="1" ht="72" customHeight="1" x14ac:dyDescent="0.2">
      <c r="A25" s="379"/>
      <c r="B25" s="9" t="s">
        <v>1715</v>
      </c>
      <c r="C25" s="9"/>
      <c r="D25" s="7"/>
      <c r="E25" s="165"/>
      <c r="F25" s="165"/>
      <c r="G25" s="166"/>
      <c r="I25" s="110"/>
      <c r="J25" s="110"/>
    </row>
    <row r="26" spans="1:12" s="6" customFormat="1" x14ac:dyDescent="0.2">
      <c r="A26" s="276">
        <v>46161</v>
      </c>
      <c r="B26" s="53" t="s">
        <v>1716</v>
      </c>
      <c r="C26" s="11"/>
      <c r="D26" s="11"/>
      <c r="E26" s="167"/>
      <c r="F26" s="167"/>
      <c r="G26" s="168"/>
    </row>
    <row r="27" spans="1:12" s="6" customFormat="1" ht="69.95" customHeight="1" x14ac:dyDescent="0.2">
      <c r="A27" s="276"/>
      <c r="B27" s="9" t="s">
        <v>1717</v>
      </c>
      <c r="C27" s="7"/>
      <c r="D27" s="7"/>
      <c r="E27" s="169"/>
      <c r="F27" s="169"/>
      <c r="G27" s="170"/>
    </row>
    <row r="28" spans="1:12" s="6" customFormat="1" x14ac:dyDescent="0.2">
      <c r="A28" s="276">
        <v>46162</v>
      </c>
      <c r="B28" s="53" t="s">
        <v>1718</v>
      </c>
      <c r="C28" s="11"/>
      <c r="D28" s="51" t="s">
        <v>1719</v>
      </c>
      <c r="E28" s="310" t="s">
        <v>1250</v>
      </c>
      <c r="F28" s="311"/>
      <c r="G28" s="312"/>
    </row>
    <row r="29" spans="1:12" s="6" customFormat="1" ht="68.25" x14ac:dyDescent="0.2">
      <c r="A29" s="276"/>
      <c r="B29" s="9" t="s">
        <v>1720</v>
      </c>
      <c r="C29" s="7"/>
      <c r="D29" s="7">
        <v>8260099940</v>
      </c>
      <c r="E29" s="316"/>
      <c r="F29" s="317"/>
      <c r="G29" s="318"/>
    </row>
    <row r="30" spans="1:12" s="6" customFormat="1" x14ac:dyDescent="0.2">
      <c r="A30" s="276">
        <v>46163</v>
      </c>
      <c r="B30" s="56" t="s">
        <v>1721</v>
      </c>
      <c r="C30" s="53" t="s">
        <v>1722</v>
      </c>
      <c r="D30" s="11"/>
      <c r="E30" s="380"/>
      <c r="F30" s="381"/>
      <c r="G30" s="382"/>
    </row>
    <row r="31" spans="1:12" s="6" customFormat="1" ht="65.099999999999994" customHeight="1" x14ac:dyDescent="0.2">
      <c r="A31" s="276"/>
      <c r="B31" s="121" t="s">
        <v>1723</v>
      </c>
      <c r="C31" s="9" t="s">
        <v>1724</v>
      </c>
      <c r="D31" s="7"/>
      <c r="E31" s="383"/>
      <c r="F31" s="384"/>
      <c r="G31" s="385"/>
    </row>
    <row r="32" spans="1:12" s="6" customFormat="1" x14ac:dyDescent="0.2">
      <c r="A32" s="276">
        <v>46164</v>
      </c>
      <c r="B32" s="74" t="s">
        <v>1952</v>
      </c>
      <c r="C32" s="53"/>
      <c r="D32" s="53"/>
      <c r="E32" s="124"/>
      <c r="F32" s="124"/>
      <c r="G32" s="127"/>
    </row>
    <row r="33" spans="1:12" s="6" customFormat="1" ht="81" x14ac:dyDescent="0.2">
      <c r="A33" s="276"/>
      <c r="B33" s="9" t="s">
        <v>1951</v>
      </c>
      <c r="C33" s="7"/>
      <c r="D33" s="7"/>
      <c r="E33" s="128"/>
      <c r="F33" s="128"/>
      <c r="G33" s="129"/>
    </row>
    <row r="34" spans="1:12" s="6" customFormat="1" x14ac:dyDescent="0.2">
      <c r="A34" s="157" t="s">
        <v>1274</v>
      </c>
      <c r="B34" s="143">
        <v>5</v>
      </c>
      <c r="C34" s="3">
        <v>1</v>
      </c>
      <c r="D34" s="3">
        <v>1</v>
      </c>
      <c r="E34" s="149">
        <f>SUM(B34:D34)</f>
        <v>7</v>
      </c>
      <c r="F34" s="108"/>
      <c r="G34" s="108"/>
    </row>
    <row r="35" spans="1:12" s="6" customFormat="1" x14ac:dyDescent="0.2">
      <c r="A35" s="157" t="s">
        <v>1275</v>
      </c>
      <c r="B35" s="143">
        <v>5</v>
      </c>
      <c r="C35" s="3">
        <v>1</v>
      </c>
      <c r="D35" s="3">
        <v>0</v>
      </c>
      <c r="E35" s="149">
        <f>SUM(B35:D35)</f>
        <v>6</v>
      </c>
      <c r="F35" s="108"/>
      <c r="G35" s="108"/>
    </row>
    <row r="36" spans="1:12" s="6" customFormat="1" x14ac:dyDescent="0.2">
      <c r="A36" s="158" t="s">
        <v>1276</v>
      </c>
      <c r="B36" s="146">
        <v>0</v>
      </c>
      <c r="C36" s="147">
        <v>0</v>
      </c>
      <c r="D36" s="3">
        <v>1</v>
      </c>
      <c r="E36" s="150">
        <f>SUM(B36:D36)</f>
        <v>1</v>
      </c>
      <c r="F36" s="108"/>
      <c r="G36" s="108"/>
    </row>
    <row r="37" spans="1:12" x14ac:dyDescent="0.2">
      <c r="C37" s="2"/>
      <c r="D37" s="2"/>
      <c r="E37" s="2"/>
      <c r="F37" s="2"/>
      <c r="G37" s="2"/>
    </row>
    <row r="38" spans="1:12" x14ac:dyDescent="0.2">
      <c r="A38" s="279" t="s">
        <v>96</v>
      </c>
      <c r="B38" s="279"/>
      <c r="C38" s="279"/>
      <c r="D38" s="279"/>
      <c r="E38" s="279"/>
      <c r="F38" s="279"/>
      <c r="G38" s="279"/>
      <c r="H38" s="279"/>
      <c r="I38" s="279"/>
      <c r="J38" s="279"/>
      <c r="K38" s="38"/>
      <c r="L38" s="38"/>
    </row>
    <row r="39" spans="1:12" ht="28.9" customHeight="1" x14ac:dyDescent="0.2">
      <c r="A39" s="280" t="s">
        <v>34</v>
      </c>
      <c r="B39" s="4" t="s">
        <v>97</v>
      </c>
      <c r="C39" s="5" t="s">
        <v>98</v>
      </c>
      <c r="D39" s="5" t="s">
        <v>99</v>
      </c>
      <c r="E39" s="5" t="s">
        <v>100</v>
      </c>
      <c r="F39" s="5" t="s">
        <v>101</v>
      </c>
      <c r="G39" s="5" t="s">
        <v>102</v>
      </c>
      <c r="H39" s="291" t="s">
        <v>8</v>
      </c>
      <c r="I39" s="291"/>
      <c r="J39" s="291"/>
    </row>
    <row r="40" spans="1:12" x14ac:dyDescent="0.2">
      <c r="A40" s="280"/>
      <c r="B40" s="14" t="s">
        <v>103</v>
      </c>
      <c r="C40" s="15" t="s">
        <v>104</v>
      </c>
      <c r="D40" s="15" t="s">
        <v>42</v>
      </c>
      <c r="E40" s="15" t="s">
        <v>105</v>
      </c>
      <c r="F40" s="15" t="s">
        <v>106</v>
      </c>
      <c r="G40" s="15" t="s">
        <v>107</v>
      </c>
      <c r="H40" s="291"/>
      <c r="I40" s="291"/>
      <c r="J40" s="291"/>
    </row>
    <row r="41" spans="1:12" x14ac:dyDescent="0.2">
      <c r="A41" s="379">
        <v>46160</v>
      </c>
      <c r="B41" s="61" t="s">
        <v>1725</v>
      </c>
      <c r="C41" s="61" t="s">
        <v>1726</v>
      </c>
      <c r="D41" s="61" t="s">
        <v>1727</v>
      </c>
      <c r="E41" s="61" t="s">
        <v>1728</v>
      </c>
      <c r="F41" s="61" t="s">
        <v>1729</v>
      </c>
      <c r="G41" s="61" t="s">
        <v>1730</v>
      </c>
      <c r="H41" s="278"/>
      <c r="I41" s="278"/>
      <c r="J41" s="278"/>
    </row>
    <row r="42" spans="1:12" ht="45" customHeight="1" x14ac:dyDescent="0.2">
      <c r="A42" s="379"/>
      <c r="B42" s="9">
        <v>8260100043</v>
      </c>
      <c r="C42" s="121" t="s">
        <v>1731</v>
      </c>
      <c r="D42" s="9">
        <v>8260100033</v>
      </c>
      <c r="E42" s="9">
        <v>8260100045</v>
      </c>
      <c r="F42" s="9" t="s">
        <v>1732</v>
      </c>
      <c r="G42" s="9">
        <v>8260100027</v>
      </c>
      <c r="H42" s="278"/>
      <c r="I42" s="278"/>
      <c r="J42" s="278"/>
    </row>
    <row r="43" spans="1:12" x14ac:dyDescent="0.2">
      <c r="A43" s="276">
        <v>46161</v>
      </c>
      <c r="B43" s="61" t="s">
        <v>1733</v>
      </c>
      <c r="C43" s="61" t="s">
        <v>1734</v>
      </c>
      <c r="D43" s="61" t="s">
        <v>1735</v>
      </c>
      <c r="E43" s="61" t="s">
        <v>1736</v>
      </c>
      <c r="F43" s="61" t="s">
        <v>1737</v>
      </c>
      <c r="G43" s="61" t="s">
        <v>1738</v>
      </c>
      <c r="H43" s="319"/>
      <c r="I43" s="319"/>
      <c r="J43" s="319"/>
    </row>
    <row r="44" spans="1:12" ht="45" customHeight="1" x14ac:dyDescent="0.2">
      <c r="A44" s="276"/>
      <c r="B44" s="9">
        <v>8260100107</v>
      </c>
      <c r="C44" s="121" t="s">
        <v>1739</v>
      </c>
      <c r="D44" s="9">
        <v>8260100101</v>
      </c>
      <c r="E44" s="9">
        <v>8260100119</v>
      </c>
      <c r="F44" s="9">
        <v>8260100106</v>
      </c>
      <c r="G44" s="9">
        <v>8260100092</v>
      </c>
      <c r="H44" s="319"/>
      <c r="I44" s="319"/>
      <c r="J44" s="319"/>
    </row>
    <row r="45" spans="1:12" x14ac:dyDescent="0.2">
      <c r="A45" s="276">
        <v>46162</v>
      </c>
      <c r="B45" s="61" t="s">
        <v>1740</v>
      </c>
      <c r="C45" s="61" t="s">
        <v>870</v>
      </c>
      <c r="D45" s="61" t="s">
        <v>1741</v>
      </c>
      <c r="E45" s="61" t="s">
        <v>1742</v>
      </c>
      <c r="F45" s="61" t="s">
        <v>1743</v>
      </c>
      <c r="G45" s="61" t="s">
        <v>1740</v>
      </c>
      <c r="H45" s="278"/>
      <c r="I45" s="278"/>
      <c r="J45" s="278"/>
    </row>
    <row r="46" spans="1:12" ht="45" customHeight="1" x14ac:dyDescent="0.2">
      <c r="A46" s="276"/>
      <c r="B46" s="9">
        <v>8260100179</v>
      </c>
      <c r="C46" s="9" t="s">
        <v>1744</v>
      </c>
      <c r="D46" s="9">
        <v>8260100180</v>
      </c>
      <c r="E46" s="9">
        <v>8260100199</v>
      </c>
      <c r="F46" s="9">
        <v>8260100182</v>
      </c>
      <c r="G46" s="9">
        <v>8260100172</v>
      </c>
      <c r="H46" s="278"/>
      <c r="I46" s="278"/>
      <c r="J46" s="278"/>
    </row>
    <row r="47" spans="1:12" ht="15" customHeight="1" x14ac:dyDescent="0.2">
      <c r="A47" s="276">
        <v>46163</v>
      </c>
      <c r="B47" s="61" t="s">
        <v>1745</v>
      </c>
      <c r="C47" s="61" t="s">
        <v>1746</v>
      </c>
      <c r="D47" s="61" t="s">
        <v>1747</v>
      </c>
      <c r="E47" s="61" t="s">
        <v>1748</v>
      </c>
      <c r="F47" s="178" t="s">
        <v>1752</v>
      </c>
      <c r="G47" s="61" t="s">
        <v>1926</v>
      </c>
      <c r="H47" s="278" t="s">
        <v>1954</v>
      </c>
      <c r="I47" s="278"/>
      <c r="J47" s="278"/>
    </row>
    <row r="48" spans="1:12" ht="45" customHeight="1" x14ac:dyDescent="0.2">
      <c r="A48" s="276"/>
      <c r="B48" s="9">
        <v>8260100266</v>
      </c>
      <c r="C48" s="9" t="s">
        <v>1749</v>
      </c>
      <c r="D48" s="9">
        <v>8260100262</v>
      </c>
      <c r="E48" s="9">
        <v>8260100261</v>
      </c>
      <c r="F48" s="9">
        <v>8260100249</v>
      </c>
      <c r="G48" s="9">
        <v>8260100247</v>
      </c>
      <c r="H48" s="278"/>
      <c r="I48" s="278"/>
      <c r="J48" s="278"/>
    </row>
    <row r="49" spans="1:15" x14ac:dyDescent="0.2">
      <c r="A49" s="276">
        <v>46164</v>
      </c>
      <c r="B49" s="61" t="s">
        <v>1750</v>
      </c>
      <c r="C49" s="61" t="s">
        <v>966</v>
      </c>
      <c r="D49" s="61" t="s">
        <v>1751</v>
      </c>
      <c r="E49" s="61" t="s">
        <v>1927</v>
      </c>
      <c r="F49" s="61" t="s">
        <v>1752</v>
      </c>
      <c r="G49" s="61" t="s">
        <v>1926</v>
      </c>
      <c r="H49" s="319"/>
      <c r="I49" s="319"/>
      <c r="J49" s="319"/>
    </row>
    <row r="50" spans="1:15" s="6" customFormat="1" ht="45" customHeight="1" x14ac:dyDescent="0.2">
      <c r="A50" s="276"/>
      <c r="B50" s="9">
        <v>8260100347</v>
      </c>
      <c r="C50" s="9" t="s">
        <v>1753</v>
      </c>
      <c r="D50" s="9">
        <v>8260100324</v>
      </c>
      <c r="E50" s="9">
        <v>8260100348</v>
      </c>
      <c r="F50" s="9" t="s">
        <v>1953</v>
      </c>
      <c r="G50" s="9">
        <v>8260100330</v>
      </c>
      <c r="H50" s="319"/>
      <c r="I50" s="319"/>
      <c r="J50" s="319"/>
    </row>
    <row r="51" spans="1:15" s="6" customFormat="1" x14ac:dyDescent="0.2">
      <c r="A51" s="157" t="s">
        <v>1274</v>
      </c>
      <c r="B51" s="143">
        <v>5</v>
      </c>
      <c r="C51" s="143">
        <v>5</v>
      </c>
      <c r="D51" s="143">
        <v>5</v>
      </c>
      <c r="E51" s="143">
        <v>5</v>
      </c>
      <c r="F51" s="143">
        <v>5</v>
      </c>
      <c r="G51" s="143">
        <v>5</v>
      </c>
      <c r="H51" s="113">
        <f>SUM(B51:G51)</f>
        <v>30</v>
      </c>
      <c r="I51" s="145"/>
      <c r="J51" s="145"/>
    </row>
    <row r="52" spans="1:15" s="6" customFormat="1" x14ac:dyDescent="0.2">
      <c r="A52" s="157" t="s">
        <v>1275</v>
      </c>
      <c r="B52" s="143">
        <v>5</v>
      </c>
      <c r="C52" s="143">
        <v>5</v>
      </c>
      <c r="D52" s="143">
        <v>5</v>
      </c>
      <c r="E52" s="143">
        <v>5</v>
      </c>
      <c r="F52" s="143">
        <v>5</v>
      </c>
      <c r="G52" s="143">
        <v>5</v>
      </c>
      <c r="H52" s="113">
        <f>SUM(B52:G52)</f>
        <v>30</v>
      </c>
      <c r="I52" s="145"/>
      <c r="J52" s="145"/>
    </row>
    <row r="53" spans="1:15" s="6" customFormat="1" x14ac:dyDescent="0.2">
      <c r="A53" s="158" t="s">
        <v>1276</v>
      </c>
      <c r="B53" s="146">
        <v>0</v>
      </c>
      <c r="C53" s="146">
        <v>0</v>
      </c>
      <c r="D53" s="146">
        <v>0</v>
      </c>
      <c r="E53" s="146">
        <v>0</v>
      </c>
      <c r="F53" s="146">
        <v>0</v>
      </c>
      <c r="G53" s="146">
        <v>0</v>
      </c>
      <c r="H53" s="151">
        <f>SUM(B53:G53)</f>
        <v>0</v>
      </c>
      <c r="I53" s="145"/>
      <c r="J53" s="145"/>
    </row>
    <row r="54" spans="1:1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5" x14ac:dyDescent="0.2">
      <c r="A55" s="279" t="s">
        <v>143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38"/>
      <c r="N55" s="38"/>
      <c r="O55" s="38"/>
    </row>
    <row r="56" spans="1:15" ht="43.15" customHeight="1" x14ac:dyDescent="0.2">
      <c r="A56" s="280" t="s">
        <v>34</v>
      </c>
      <c r="B56" s="5" t="s">
        <v>144</v>
      </c>
      <c r="C56" s="5" t="s">
        <v>145</v>
      </c>
      <c r="D56" s="5" t="s">
        <v>146</v>
      </c>
      <c r="E56" s="5" t="s">
        <v>662</v>
      </c>
      <c r="F56" s="5" t="s">
        <v>148</v>
      </c>
      <c r="G56" s="5" t="s">
        <v>149</v>
      </c>
      <c r="H56" s="5" t="s">
        <v>150</v>
      </c>
      <c r="I56" s="5" t="s">
        <v>151</v>
      </c>
      <c r="J56" s="5" t="s">
        <v>152</v>
      </c>
      <c r="K56" s="5" t="s">
        <v>663</v>
      </c>
      <c r="L56" s="282" t="s">
        <v>8</v>
      </c>
    </row>
    <row r="57" spans="1:15" x14ac:dyDescent="0.2">
      <c r="A57" s="280"/>
      <c r="B57" s="15" t="s">
        <v>153</v>
      </c>
      <c r="C57" s="15" t="s">
        <v>153</v>
      </c>
      <c r="D57" s="15" t="s">
        <v>154</v>
      </c>
      <c r="E57" s="15" t="s">
        <v>155</v>
      </c>
      <c r="F57" s="15" t="s">
        <v>156</v>
      </c>
      <c r="G57" s="15" t="s">
        <v>156</v>
      </c>
      <c r="H57" s="15" t="s">
        <v>45</v>
      </c>
      <c r="I57" s="15" t="s">
        <v>157</v>
      </c>
      <c r="J57" s="15" t="s">
        <v>157</v>
      </c>
      <c r="K57" s="15" t="s">
        <v>106</v>
      </c>
      <c r="L57" s="282"/>
    </row>
    <row r="58" spans="1:15" x14ac:dyDescent="0.2">
      <c r="A58" s="379">
        <v>46160</v>
      </c>
      <c r="B58" s="61" t="s">
        <v>1754</v>
      </c>
      <c r="C58" s="17" t="s">
        <v>1755</v>
      </c>
      <c r="D58" s="61" t="s">
        <v>1756</v>
      </c>
      <c r="E58" s="61" t="s">
        <v>1757</v>
      </c>
      <c r="F58" s="61" t="s">
        <v>1758</v>
      </c>
      <c r="G58" s="61" t="s">
        <v>1759</v>
      </c>
      <c r="H58" s="61" t="s">
        <v>1760</v>
      </c>
      <c r="I58" s="61"/>
      <c r="J58" s="53"/>
      <c r="K58" s="66"/>
      <c r="L58" s="323" t="s">
        <v>1761</v>
      </c>
    </row>
    <row r="59" spans="1:15" ht="45" customHeight="1" x14ac:dyDescent="0.2">
      <c r="A59" s="379"/>
      <c r="B59" s="9">
        <v>8260100050</v>
      </c>
      <c r="C59" s="9" t="s">
        <v>1762</v>
      </c>
      <c r="D59" s="9">
        <v>8260100024</v>
      </c>
      <c r="E59" s="9">
        <v>8260100038</v>
      </c>
      <c r="F59" s="9">
        <v>8260100039</v>
      </c>
      <c r="G59" s="9">
        <v>8260100042</v>
      </c>
      <c r="H59" s="9">
        <v>8260100035</v>
      </c>
      <c r="I59" s="9"/>
      <c r="J59" s="7"/>
      <c r="K59" s="9"/>
      <c r="L59" s="325"/>
    </row>
    <row r="60" spans="1:15" x14ac:dyDescent="0.2">
      <c r="A60" s="276">
        <v>46161</v>
      </c>
      <c r="B60" s="61" t="s">
        <v>1763</v>
      </c>
      <c r="C60" s="61" t="s">
        <v>1764</v>
      </c>
      <c r="D60" s="61" t="s">
        <v>1765</v>
      </c>
      <c r="E60" s="61" t="s">
        <v>1766</v>
      </c>
      <c r="F60" s="61" t="s">
        <v>1767</v>
      </c>
      <c r="G60" s="61" t="s">
        <v>1768</v>
      </c>
      <c r="H60" s="61" t="s">
        <v>1769</v>
      </c>
      <c r="I60" s="61"/>
      <c r="J60" s="53"/>
      <c r="K60" s="66" t="s">
        <v>1770</v>
      </c>
      <c r="L60" s="323"/>
    </row>
    <row r="61" spans="1:15" ht="45" customHeight="1" x14ac:dyDescent="0.2">
      <c r="A61" s="276"/>
      <c r="B61" s="9">
        <v>8260100117</v>
      </c>
      <c r="C61" s="9" t="s">
        <v>1771</v>
      </c>
      <c r="D61" s="9">
        <v>8260100091</v>
      </c>
      <c r="E61" s="9">
        <v>8260100121</v>
      </c>
      <c r="F61" s="9">
        <v>8260100109</v>
      </c>
      <c r="G61" s="9">
        <v>8260100114</v>
      </c>
      <c r="H61" s="9">
        <v>8260100122</v>
      </c>
      <c r="I61" s="9"/>
      <c r="J61" s="7"/>
      <c r="K61" s="9">
        <v>8260100089</v>
      </c>
      <c r="L61" s="325"/>
    </row>
    <row r="62" spans="1:15" x14ac:dyDescent="0.2">
      <c r="A62" s="276">
        <v>46162</v>
      </c>
      <c r="B62" s="61" t="s">
        <v>1772</v>
      </c>
      <c r="C62" s="61" t="s">
        <v>1773</v>
      </c>
      <c r="D62" s="61" t="s">
        <v>1774</v>
      </c>
      <c r="E62" s="61" t="s">
        <v>1775</v>
      </c>
      <c r="F62" s="61" t="s">
        <v>1776</v>
      </c>
      <c r="G62" s="61" t="s">
        <v>1777</v>
      </c>
      <c r="H62" s="61" t="s">
        <v>1778</v>
      </c>
      <c r="I62" s="61"/>
      <c r="J62" s="53"/>
      <c r="K62" s="66" t="s">
        <v>1743</v>
      </c>
      <c r="L62" s="366"/>
    </row>
    <row r="63" spans="1:15" ht="45" customHeight="1" x14ac:dyDescent="0.2">
      <c r="A63" s="276"/>
      <c r="B63" s="9">
        <v>8260100198</v>
      </c>
      <c r="C63" s="9" t="s">
        <v>1779</v>
      </c>
      <c r="D63" s="9">
        <v>8260100168</v>
      </c>
      <c r="E63" s="9">
        <v>8260100196</v>
      </c>
      <c r="F63" s="9">
        <v>8260100177</v>
      </c>
      <c r="G63" s="9">
        <v>8260100193</v>
      </c>
      <c r="H63" s="9">
        <v>8260100192</v>
      </c>
      <c r="I63" s="9"/>
      <c r="J63" s="7"/>
      <c r="K63" s="9">
        <v>8260100165</v>
      </c>
      <c r="L63" s="367"/>
    </row>
    <row r="64" spans="1:15" x14ac:dyDescent="0.2">
      <c r="A64" s="276">
        <v>46163</v>
      </c>
      <c r="B64" s="61" t="s">
        <v>915</v>
      </c>
      <c r="C64" s="61" t="s">
        <v>1780</v>
      </c>
      <c r="D64" s="61" t="s">
        <v>1781</v>
      </c>
      <c r="E64" s="61" t="s">
        <v>1782</v>
      </c>
      <c r="F64" s="61" t="s">
        <v>1783</v>
      </c>
      <c r="G64" s="61" t="s">
        <v>1784</v>
      </c>
      <c r="H64" s="61" t="s">
        <v>1785</v>
      </c>
      <c r="I64" s="61"/>
      <c r="J64" s="53"/>
      <c r="K64" s="61" t="s">
        <v>1786</v>
      </c>
      <c r="L64" s="323"/>
    </row>
    <row r="65" spans="1:12" ht="45" customHeight="1" x14ac:dyDescent="0.2">
      <c r="A65" s="276"/>
      <c r="B65" s="121">
        <v>8260100270</v>
      </c>
      <c r="C65" s="9" t="s">
        <v>1787</v>
      </c>
      <c r="D65" s="9">
        <v>8260100267</v>
      </c>
      <c r="E65" s="9">
        <v>8260100251</v>
      </c>
      <c r="F65" s="9">
        <v>8260100265</v>
      </c>
      <c r="G65" s="9">
        <v>8260100274</v>
      </c>
      <c r="H65" s="9">
        <v>8260100259</v>
      </c>
      <c r="I65" s="9"/>
      <c r="J65" s="7"/>
      <c r="K65" s="9">
        <v>8260100271</v>
      </c>
      <c r="L65" s="325"/>
    </row>
    <row r="66" spans="1:12" x14ac:dyDescent="0.2">
      <c r="A66" s="276">
        <v>46164</v>
      </c>
      <c r="B66" s="61" t="s">
        <v>1928</v>
      </c>
      <c r="C66" s="61" t="s">
        <v>1929</v>
      </c>
      <c r="D66" s="61" t="s">
        <v>923</v>
      </c>
      <c r="E66" s="61" t="s">
        <v>1853</v>
      </c>
      <c r="F66" s="61" t="s">
        <v>1930</v>
      </c>
      <c r="G66" s="61" t="s">
        <v>1931</v>
      </c>
      <c r="H66" s="17" t="s">
        <v>1932</v>
      </c>
      <c r="I66" s="61"/>
      <c r="J66" s="53"/>
      <c r="K66" s="66" t="s">
        <v>1933</v>
      </c>
      <c r="L66" s="323" t="s">
        <v>1934</v>
      </c>
    </row>
    <row r="67" spans="1:12" ht="45" customHeight="1" x14ac:dyDescent="0.2">
      <c r="A67" s="276"/>
      <c r="B67" s="9">
        <v>8260100339</v>
      </c>
      <c r="C67" s="9" t="s">
        <v>1788</v>
      </c>
      <c r="D67" s="9">
        <v>8260100338</v>
      </c>
      <c r="E67" s="9">
        <v>8260100352</v>
      </c>
      <c r="F67" s="9">
        <v>8260100332</v>
      </c>
      <c r="G67" s="9">
        <v>8260100325</v>
      </c>
      <c r="H67" s="9">
        <v>8260100344</v>
      </c>
      <c r="I67" s="9"/>
      <c r="J67" s="7"/>
      <c r="K67" s="9">
        <v>8260100351</v>
      </c>
      <c r="L67" s="325"/>
    </row>
    <row r="68" spans="1:12" x14ac:dyDescent="0.2">
      <c r="A68" s="157" t="s">
        <v>1274</v>
      </c>
      <c r="B68" s="143">
        <v>5</v>
      </c>
      <c r="C68" s="143">
        <v>5</v>
      </c>
      <c r="D68" s="143">
        <v>5</v>
      </c>
      <c r="E68" s="143">
        <v>5</v>
      </c>
      <c r="F68" s="143">
        <v>5</v>
      </c>
      <c r="G68" s="143">
        <v>5</v>
      </c>
      <c r="H68" s="143">
        <v>5</v>
      </c>
      <c r="I68" s="143"/>
      <c r="J68" s="143"/>
      <c r="K68" s="143">
        <v>4</v>
      </c>
      <c r="L68" s="149">
        <f>SUM(B68:K68)</f>
        <v>39</v>
      </c>
    </row>
    <row r="69" spans="1:12" x14ac:dyDescent="0.2">
      <c r="A69" s="157" t="s">
        <v>1275</v>
      </c>
      <c r="B69" s="143">
        <v>5</v>
      </c>
      <c r="C69" s="143">
        <v>4</v>
      </c>
      <c r="D69" s="143">
        <v>5</v>
      </c>
      <c r="E69" s="143">
        <v>5</v>
      </c>
      <c r="F69" s="143">
        <v>5</v>
      </c>
      <c r="G69" s="143">
        <v>5</v>
      </c>
      <c r="H69" s="143">
        <v>4</v>
      </c>
      <c r="I69" s="143"/>
      <c r="J69" s="143"/>
      <c r="K69" s="143">
        <v>4</v>
      </c>
      <c r="L69" s="149">
        <f>SUM(B69:K69)</f>
        <v>37</v>
      </c>
    </row>
    <row r="70" spans="1:12" x14ac:dyDescent="0.2">
      <c r="A70" s="158" t="s">
        <v>1276</v>
      </c>
      <c r="B70" s="146">
        <v>0</v>
      </c>
      <c r="C70" s="146">
        <v>1</v>
      </c>
      <c r="D70" s="146">
        <v>0</v>
      </c>
      <c r="E70" s="146">
        <v>0</v>
      </c>
      <c r="F70" s="146">
        <v>0</v>
      </c>
      <c r="G70" s="146">
        <v>0</v>
      </c>
      <c r="H70" s="146">
        <v>1</v>
      </c>
      <c r="I70" s="146"/>
      <c r="J70" s="146"/>
      <c r="K70" s="146">
        <v>0</v>
      </c>
      <c r="L70" s="150">
        <f>SUM(B70:K70)</f>
        <v>2</v>
      </c>
    </row>
    <row r="72" spans="1:12" ht="28.9" customHeight="1" x14ac:dyDescent="0.2">
      <c r="A72" s="280" t="s">
        <v>34</v>
      </c>
      <c r="B72" s="5" t="s">
        <v>196</v>
      </c>
      <c r="C72" s="5" t="s">
        <v>472</v>
      </c>
      <c r="D72" s="5" t="s">
        <v>198</v>
      </c>
      <c r="E72" s="5" t="s">
        <v>199</v>
      </c>
      <c r="F72" s="5" t="s">
        <v>200</v>
      </c>
      <c r="G72" s="5" t="s">
        <v>201</v>
      </c>
      <c r="H72" s="5" t="s">
        <v>202</v>
      </c>
      <c r="I72" s="5" t="s">
        <v>203</v>
      </c>
      <c r="J72" s="5" t="s">
        <v>204</v>
      </c>
      <c r="K72" s="5" t="s">
        <v>1149</v>
      </c>
      <c r="L72" s="104" t="s">
        <v>8</v>
      </c>
    </row>
    <row r="73" spans="1:12" x14ac:dyDescent="0.2">
      <c r="A73" s="280"/>
      <c r="B73" s="15" t="s">
        <v>153</v>
      </c>
      <c r="C73" s="15" t="s">
        <v>205</v>
      </c>
      <c r="D73" s="15" t="s">
        <v>206</v>
      </c>
      <c r="E73" s="15" t="s">
        <v>207</v>
      </c>
      <c r="F73" s="15" t="s">
        <v>208</v>
      </c>
      <c r="G73" s="15" t="s">
        <v>207</v>
      </c>
      <c r="H73" s="15" t="s">
        <v>103</v>
      </c>
      <c r="I73" s="15" t="s">
        <v>208</v>
      </c>
      <c r="J73" s="15" t="s">
        <v>209</v>
      </c>
      <c r="K73" s="15" t="s">
        <v>1150</v>
      </c>
      <c r="L73" s="104"/>
    </row>
    <row r="74" spans="1:12" x14ac:dyDescent="0.2">
      <c r="A74" s="379">
        <v>46160</v>
      </c>
      <c r="B74" s="61" t="s">
        <v>1789</v>
      </c>
      <c r="C74" s="61" t="s">
        <v>1790</v>
      </c>
      <c r="D74" s="61" t="s">
        <v>1791</v>
      </c>
      <c r="E74" s="61" t="s">
        <v>1792</v>
      </c>
      <c r="F74" s="61" t="s">
        <v>1793</v>
      </c>
      <c r="G74" s="61" t="s">
        <v>1794</v>
      </c>
      <c r="H74" s="61" t="s">
        <v>1795</v>
      </c>
      <c r="I74" s="61" t="s">
        <v>1796</v>
      </c>
      <c r="J74" s="66"/>
      <c r="K74" s="66"/>
      <c r="L74" s="103"/>
    </row>
    <row r="75" spans="1:12" ht="45" customHeight="1" x14ac:dyDescent="0.2">
      <c r="A75" s="379"/>
      <c r="B75" s="9">
        <v>8260100037</v>
      </c>
      <c r="C75" s="9">
        <v>8260100036</v>
      </c>
      <c r="D75" s="9">
        <v>8260100053</v>
      </c>
      <c r="E75" s="9">
        <v>8260100046</v>
      </c>
      <c r="F75" s="9">
        <v>8260100049</v>
      </c>
      <c r="G75" s="9">
        <v>8260100034</v>
      </c>
      <c r="H75" s="9">
        <v>8260100051</v>
      </c>
      <c r="I75" s="9" t="s">
        <v>1797</v>
      </c>
      <c r="J75" s="9"/>
      <c r="K75" s="9"/>
      <c r="L75" s="103"/>
    </row>
    <row r="76" spans="1:12" x14ac:dyDescent="0.2">
      <c r="A76" s="276">
        <v>46161</v>
      </c>
      <c r="B76" s="61" t="s">
        <v>1798</v>
      </c>
      <c r="C76" s="61" t="s">
        <v>1799</v>
      </c>
      <c r="D76" s="61" t="s">
        <v>1800</v>
      </c>
      <c r="E76" s="61" t="s">
        <v>1801</v>
      </c>
      <c r="F76" s="61" t="s">
        <v>1802</v>
      </c>
      <c r="G76" s="61" t="s">
        <v>1803</v>
      </c>
      <c r="H76" s="61" t="s">
        <v>1804</v>
      </c>
      <c r="I76" s="61" t="s">
        <v>1805</v>
      </c>
      <c r="J76" s="66"/>
      <c r="K76" s="66"/>
      <c r="L76" s="111"/>
    </row>
    <row r="77" spans="1:12" ht="45" customHeight="1" x14ac:dyDescent="0.2">
      <c r="A77" s="276"/>
      <c r="B77" s="9">
        <v>8260100113</v>
      </c>
      <c r="C77" s="9">
        <v>8260100115</v>
      </c>
      <c r="D77" s="9">
        <v>8260100110</v>
      </c>
      <c r="E77" s="9">
        <v>8260100105</v>
      </c>
      <c r="F77" s="9">
        <v>8260100112</v>
      </c>
      <c r="G77" s="9">
        <v>8260100095</v>
      </c>
      <c r="H77" s="9">
        <v>8260100120</v>
      </c>
      <c r="I77" s="9" t="s">
        <v>1806</v>
      </c>
      <c r="J77" s="7"/>
      <c r="K77" s="9"/>
      <c r="L77" s="111"/>
    </row>
    <row r="78" spans="1:12" x14ac:dyDescent="0.2">
      <c r="A78" s="276">
        <v>46162</v>
      </c>
      <c r="B78" s="61" t="s">
        <v>1807</v>
      </c>
      <c r="C78" s="61" t="s">
        <v>1808</v>
      </c>
      <c r="D78" s="61" t="s">
        <v>1809</v>
      </c>
      <c r="E78" s="61" t="s">
        <v>1810</v>
      </c>
      <c r="F78" s="61" t="s">
        <v>1811</v>
      </c>
      <c r="G78" s="61" t="s">
        <v>1812</v>
      </c>
      <c r="H78" s="61" t="s">
        <v>1813</v>
      </c>
      <c r="I78" s="61" t="s">
        <v>1814</v>
      </c>
      <c r="J78" s="53"/>
      <c r="K78" s="66"/>
      <c r="L78" s="111"/>
    </row>
    <row r="79" spans="1:12" ht="45" customHeight="1" x14ac:dyDescent="0.2">
      <c r="A79" s="276"/>
      <c r="B79" s="9">
        <v>8260100183</v>
      </c>
      <c r="C79" s="9">
        <v>8260100190</v>
      </c>
      <c r="D79" s="9">
        <v>8260100195</v>
      </c>
      <c r="E79" s="9">
        <v>8260100188</v>
      </c>
      <c r="F79" s="9">
        <v>8260100191</v>
      </c>
      <c r="G79" s="9">
        <v>8260100181</v>
      </c>
      <c r="H79" s="9">
        <v>8260100194</v>
      </c>
      <c r="I79" s="9" t="s">
        <v>1815</v>
      </c>
      <c r="J79" s="7"/>
      <c r="K79" s="9"/>
      <c r="L79" s="111"/>
    </row>
    <row r="80" spans="1:12" x14ac:dyDescent="0.2">
      <c r="A80" s="276">
        <v>46163</v>
      </c>
      <c r="B80" s="61" t="s">
        <v>1785</v>
      </c>
      <c r="C80" s="61" t="s">
        <v>1816</v>
      </c>
      <c r="D80" s="61" t="s">
        <v>1817</v>
      </c>
      <c r="E80" s="61" t="s">
        <v>1818</v>
      </c>
      <c r="F80" s="61" t="s">
        <v>1819</v>
      </c>
      <c r="G80" s="61" t="s">
        <v>1820</v>
      </c>
      <c r="H80" s="61" t="s">
        <v>914</v>
      </c>
      <c r="I80" s="61" t="s">
        <v>1821</v>
      </c>
      <c r="J80" s="53"/>
      <c r="K80" s="16"/>
      <c r="L80" s="111"/>
    </row>
    <row r="81" spans="1:14" ht="45" customHeight="1" x14ac:dyDescent="0.2">
      <c r="A81" s="276"/>
      <c r="B81" s="9">
        <v>8260100257</v>
      </c>
      <c r="C81" s="9">
        <v>8260100244</v>
      </c>
      <c r="D81" s="9">
        <v>8260100258</v>
      </c>
      <c r="E81" s="9">
        <v>8260100250</v>
      </c>
      <c r="F81" s="9">
        <v>8260100275</v>
      </c>
      <c r="G81" s="9">
        <v>8260100276</v>
      </c>
      <c r="H81" s="9">
        <v>8260100268</v>
      </c>
      <c r="I81" s="9" t="s">
        <v>1822</v>
      </c>
      <c r="J81" s="7"/>
      <c r="K81" s="9"/>
      <c r="L81" s="111"/>
    </row>
    <row r="82" spans="1:14" x14ac:dyDescent="0.2">
      <c r="A82" s="276">
        <v>46164</v>
      </c>
      <c r="B82" s="61" t="s">
        <v>1935</v>
      </c>
      <c r="C82" s="61" t="s">
        <v>1936</v>
      </c>
      <c r="D82" s="61" t="s">
        <v>1937</v>
      </c>
      <c r="E82" s="61" t="s">
        <v>1938</v>
      </c>
      <c r="F82" s="61" t="s">
        <v>1939</v>
      </c>
      <c r="G82" s="61" t="s">
        <v>1940</v>
      </c>
      <c r="H82" s="61" t="s">
        <v>1941</v>
      </c>
      <c r="I82" s="61" t="s">
        <v>1942</v>
      </c>
      <c r="J82" s="53"/>
      <c r="K82" s="66"/>
      <c r="L82" s="10"/>
    </row>
    <row r="83" spans="1:14" ht="45" customHeight="1" x14ac:dyDescent="0.2">
      <c r="A83" s="276"/>
      <c r="B83" s="9">
        <v>8260100350</v>
      </c>
      <c r="C83" s="9">
        <v>8260100346</v>
      </c>
      <c r="D83" s="9">
        <v>8260100333</v>
      </c>
      <c r="E83" s="9">
        <v>8260100355</v>
      </c>
      <c r="F83" s="9">
        <v>8260100357</v>
      </c>
      <c r="G83" s="9">
        <v>8260100356</v>
      </c>
      <c r="H83" s="9">
        <v>8260100340</v>
      </c>
      <c r="I83" s="9" t="s">
        <v>1823</v>
      </c>
      <c r="J83" s="7"/>
      <c r="K83" s="9"/>
      <c r="L83" s="111"/>
    </row>
    <row r="84" spans="1:14" x14ac:dyDescent="0.2">
      <c r="A84" s="157" t="s">
        <v>1274</v>
      </c>
      <c r="B84" s="143">
        <v>5</v>
      </c>
      <c r="C84" s="143">
        <v>5</v>
      </c>
      <c r="D84" s="143">
        <v>5</v>
      </c>
      <c r="E84" s="143">
        <v>5</v>
      </c>
      <c r="F84" s="143">
        <v>5</v>
      </c>
      <c r="G84" s="143">
        <v>5</v>
      </c>
      <c r="H84" s="143">
        <v>5</v>
      </c>
      <c r="I84" s="143">
        <v>5</v>
      </c>
      <c r="J84" s="143"/>
      <c r="K84" s="143"/>
      <c r="L84" s="113">
        <f>SUM(B84:K84)</f>
        <v>40</v>
      </c>
    </row>
    <row r="85" spans="1:14" x14ac:dyDescent="0.2">
      <c r="A85" s="157" t="s">
        <v>1275</v>
      </c>
      <c r="B85" s="143">
        <v>5</v>
      </c>
      <c r="C85" s="143">
        <v>5</v>
      </c>
      <c r="D85" s="143">
        <v>5</v>
      </c>
      <c r="E85" s="143">
        <v>5</v>
      </c>
      <c r="F85" s="143">
        <v>5</v>
      </c>
      <c r="G85" s="143">
        <v>5</v>
      </c>
      <c r="H85" s="143">
        <v>5</v>
      </c>
      <c r="I85" s="143">
        <v>5</v>
      </c>
      <c r="J85" s="143"/>
      <c r="K85" s="143"/>
      <c r="L85" s="113">
        <f>SUM(B85:K85)</f>
        <v>40</v>
      </c>
    </row>
    <row r="86" spans="1:14" x14ac:dyDescent="0.2">
      <c r="A86" s="158" t="s">
        <v>1276</v>
      </c>
      <c r="B86" s="146">
        <v>0</v>
      </c>
      <c r="C86" s="146">
        <v>0</v>
      </c>
      <c r="D86" s="146">
        <v>0</v>
      </c>
      <c r="E86" s="146">
        <v>0</v>
      </c>
      <c r="F86" s="146">
        <v>0</v>
      </c>
      <c r="G86" s="146">
        <v>0</v>
      </c>
      <c r="H86" s="146">
        <v>0</v>
      </c>
      <c r="I86" s="146">
        <v>0</v>
      </c>
      <c r="J86" s="146"/>
      <c r="K86" s="146"/>
      <c r="L86" s="151">
        <f>SUM(B86:K86)</f>
        <v>0</v>
      </c>
    </row>
    <row r="88" spans="1:14" x14ac:dyDescent="0.2">
      <c r="A88" s="279" t="s">
        <v>252</v>
      </c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38"/>
      <c r="N88" s="38"/>
    </row>
    <row r="89" spans="1:14" ht="27.75" x14ac:dyDescent="0.2">
      <c r="A89" s="329" t="s">
        <v>34</v>
      </c>
      <c r="B89" s="82" t="s">
        <v>253</v>
      </c>
      <c r="C89" s="82" t="s">
        <v>254</v>
      </c>
      <c r="D89" s="82" t="s">
        <v>255</v>
      </c>
      <c r="E89" s="82" t="s">
        <v>256</v>
      </c>
      <c r="F89" s="82" t="s">
        <v>257</v>
      </c>
      <c r="G89" s="82" t="s">
        <v>258</v>
      </c>
      <c r="H89" s="82" t="s">
        <v>259</v>
      </c>
      <c r="I89" s="82" t="s">
        <v>260</v>
      </c>
      <c r="J89" s="330" t="s">
        <v>8</v>
      </c>
      <c r="K89" s="330"/>
      <c r="L89" s="330"/>
    </row>
    <row r="90" spans="1:14" x14ac:dyDescent="0.2">
      <c r="A90" s="280"/>
      <c r="B90" s="15" t="s">
        <v>154</v>
      </c>
      <c r="C90" s="15" t="s">
        <v>261</v>
      </c>
      <c r="D90" s="15" t="s">
        <v>262</v>
      </c>
      <c r="E90" s="15" t="s">
        <v>42</v>
      </c>
      <c r="F90" s="15" t="s">
        <v>263</v>
      </c>
      <c r="G90" s="15" t="s">
        <v>264</v>
      </c>
      <c r="H90" s="15" t="s">
        <v>265</v>
      </c>
      <c r="I90" s="15" t="s">
        <v>263</v>
      </c>
      <c r="J90" s="282"/>
      <c r="K90" s="282"/>
      <c r="L90" s="282"/>
    </row>
    <row r="91" spans="1:14" x14ac:dyDescent="0.2">
      <c r="A91" s="379">
        <v>46160</v>
      </c>
      <c r="B91" s="61" t="s">
        <v>1824</v>
      </c>
      <c r="C91" s="61" t="s">
        <v>1825</v>
      </c>
      <c r="D91" s="61" t="s">
        <v>1826</v>
      </c>
      <c r="E91" s="61" t="s">
        <v>1826</v>
      </c>
      <c r="F91" s="61" t="s">
        <v>1827</v>
      </c>
      <c r="G91" s="61" t="s">
        <v>1828</v>
      </c>
      <c r="H91" s="61" t="s">
        <v>1829</v>
      </c>
      <c r="I91" s="61"/>
      <c r="J91" s="331"/>
      <c r="K91" s="331"/>
      <c r="L91" s="331"/>
    </row>
    <row r="92" spans="1:14" ht="45" customHeight="1" x14ac:dyDescent="0.2">
      <c r="A92" s="379"/>
      <c r="B92" s="9" t="s">
        <v>1830</v>
      </c>
      <c r="C92" s="9">
        <v>8260100052</v>
      </c>
      <c r="D92" s="9">
        <v>8260100040</v>
      </c>
      <c r="E92" s="9">
        <v>8260100022</v>
      </c>
      <c r="F92" s="9">
        <v>8260100041</v>
      </c>
      <c r="G92" s="9">
        <v>8260100028</v>
      </c>
      <c r="H92" s="9">
        <v>8260100031</v>
      </c>
      <c r="I92" s="9"/>
      <c r="J92" s="331"/>
      <c r="K92" s="331"/>
      <c r="L92" s="331"/>
    </row>
    <row r="93" spans="1:14" x14ac:dyDescent="0.2">
      <c r="A93" s="276">
        <v>46161</v>
      </c>
      <c r="B93" s="61" t="s">
        <v>1831</v>
      </c>
      <c r="C93" s="61" t="s">
        <v>1832</v>
      </c>
      <c r="D93" s="61" t="s">
        <v>1833</v>
      </c>
      <c r="E93" s="61" t="s">
        <v>1833</v>
      </c>
      <c r="F93" s="61" t="s">
        <v>1834</v>
      </c>
      <c r="G93" s="61" t="s">
        <v>1835</v>
      </c>
      <c r="H93" s="61" t="s">
        <v>1836</v>
      </c>
      <c r="I93" s="61"/>
      <c r="J93" s="331"/>
      <c r="K93" s="331"/>
      <c r="L93" s="331"/>
    </row>
    <row r="94" spans="1:14" ht="45" customHeight="1" x14ac:dyDescent="0.2">
      <c r="A94" s="276"/>
      <c r="B94" s="9" t="s">
        <v>1837</v>
      </c>
      <c r="C94" s="9">
        <v>8260100104</v>
      </c>
      <c r="D94" s="9">
        <v>8260100111</v>
      </c>
      <c r="E94" s="9">
        <v>8260100103</v>
      </c>
      <c r="F94" s="9">
        <v>8260100094</v>
      </c>
      <c r="G94" s="9">
        <v>8260100090</v>
      </c>
      <c r="H94" s="9">
        <v>8260100099</v>
      </c>
      <c r="I94" s="9"/>
      <c r="J94" s="331"/>
      <c r="K94" s="331"/>
      <c r="L94" s="331"/>
    </row>
    <row r="95" spans="1:14" x14ac:dyDescent="0.2">
      <c r="A95" s="276">
        <v>46162</v>
      </c>
      <c r="B95" s="61" t="s">
        <v>1838</v>
      </c>
      <c r="C95" s="61" t="s">
        <v>1839</v>
      </c>
      <c r="D95" s="61" t="s">
        <v>1840</v>
      </c>
      <c r="E95" s="61" t="s">
        <v>1840</v>
      </c>
      <c r="F95" s="61" t="s">
        <v>1841</v>
      </c>
      <c r="G95" s="61" t="s">
        <v>1842</v>
      </c>
      <c r="H95" s="61" t="s">
        <v>1843</v>
      </c>
      <c r="I95" s="61"/>
      <c r="J95" s="331"/>
      <c r="K95" s="331"/>
      <c r="L95" s="331"/>
    </row>
    <row r="96" spans="1:14" ht="45" customHeight="1" x14ac:dyDescent="0.2">
      <c r="A96" s="276"/>
      <c r="B96" s="9" t="s">
        <v>1844</v>
      </c>
      <c r="C96" s="9">
        <v>8260100174</v>
      </c>
      <c r="D96" s="9">
        <v>8260100173</v>
      </c>
      <c r="E96" s="9">
        <v>8260100185</v>
      </c>
      <c r="F96" s="9">
        <v>8260100169</v>
      </c>
      <c r="G96" s="9">
        <v>8260100175</v>
      </c>
      <c r="H96" s="9">
        <v>8260100178</v>
      </c>
      <c r="I96" s="9"/>
      <c r="J96" s="331"/>
      <c r="K96" s="331"/>
      <c r="L96" s="331"/>
    </row>
    <row r="97" spans="1:12" x14ac:dyDescent="0.2">
      <c r="A97" s="276">
        <v>46163</v>
      </c>
      <c r="B97" s="61" t="s">
        <v>1845</v>
      </c>
      <c r="C97" s="61" t="s">
        <v>1846</v>
      </c>
      <c r="D97" s="61" t="s">
        <v>1847</v>
      </c>
      <c r="E97" s="61" t="s">
        <v>1847</v>
      </c>
      <c r="F97" s="61" t="s">
        <v>1848</v>
      </c>
      <c r="G97" s="61" t="s">
        <v>1849</v>
      </c>
      <c r="H97" s="61" t="s">
        <v>1850</v>
      </c>
      <c r="I97" s="61"/>
      <c r="J97" s="278"/>
      <c r="K97" s="278"/>
      <c r="L97" s="278"/>
    </row>
    <row r="98" spans="1:12" ht="45" customHeight="1" x14ac:dyDescent="0.2">
      <c r="A98" s="276"/>
      <c r="B98" s="9">
        <v>8260100245</v>
      </c>
      <c r="C98" s="3">
        <v>8260100272</v>
      </c>
      <c r="D98" s="9">
        <v>8260100256</v>
      </c>
      <c r="E98" s="9">
        <v>8260100254</v>
      </c>
      <c r="F98" s="9">
        <v>8260100264</v>
      </c>
      <c r="G98" s="9">
        <v>8260100269</v>
      </c>
      <c r="H98" s="9">
        <v>8260100260</v>
      </c>
      <c r="I98" s="9"/>
      <c r="J98" s="278"/>
      <c r="K98" s="278"/>
      <c r="L98" s="278"/>
    </row>
    <row r="99" spans="1:12" x14ac:dyDescent="0.2">
      <c r="A99" s="276">
        <v>46164</v>
      </c>
      <c r="B99" s="61" t="s">
        <v>924</v>
      </c>
      <c r="C99" s="61" t="s">
        <v>1851</v>
      </c>
      <c r="D99" s="61" t="s">
        <v>1852</v>
      </c>
      <c r="E99" s="61" t="s">
        <v>1852</v>
      </c>
      <c r="F99" s="61" t="s">
        <v>1853</v>
      </c>
      <c r="G99" s="61" t="s">
        <v>1854</v>
      </c>
      <c r="H99" s="61" t="s">
        <v>1956</v>
      </c>
      <c r="I99" s="61"/>
      <c r="J99" s="368" t="s">
        <v>783</v>
      </c>
      <c r="K99" s="368"/>
      <c r="L99" s="368"/>
    </row>
    <row r="100" spans="1:12" ht="45" customHeight="1" x14ac:dyDescent="0.2">
      <c r="A100" s="276"/>
      <c r="B100" s="9" t="s">
        <v>1855</v>
      </c>
      <c r="C100" s="9">
        <v>8260100327</v>
      </c>
      <c r="D100" s="9">
        <v>8260100353</v>
      </c>
      <c r="E100" s="9">
        <v>8260100341</v>
      </c>
      <c r="F100" s="9">
        <v>8260100326</v>
      </c>
      <c r="G100" s="9">
        <v>8260100335</v>
      </c>
      <c r="H100" s="9">
        <v>8260100336</v>
      </c>
      <c r="I100" s="9"/>
      <c r="J100" s="368"/>
      <c r="K100" s="368"/>
      <c r="L100" s="368"/>
    </row>
    <row r="101" spans="1:12" x14ac:dyDescent="0.2">
      <c r="A101" s="157" t="s">
        <v>1274</v>
      </c>
      <c r="B101" s="143">
        <v>5</v>
      </c>
      <c r="C101" s="143">
        <v>5</v>
      </c>
      <c r="D101" s="143">
        <v>5</v>
      </c>
      <c r="E101" s="143">
        <v>5</v>
      </c>
      <c r="F101" s="143">
        <v>5</v>
      </c>
      <c r="G101" s="143">
        <v>5</v>
      </c>
      <c r="H101" s="143">
        <v>5</v>
      </c>
      <c r="I101" s="143"/>
      <c r="J101" s="92">
        <f>SUM(B101:I101)</f>
        <v>35</v>
      </c>
    </row>
    <row r="102" spans="1:12" x14ac:dyDescent="0.2">
      <c r="A102" s="157" t="s">
        <v>1275</v>
      </c>
      <c r="B102" s="143">
        <v>5</v>
      </c>
      <c r="C102" s="143">
        <v>5</v>
      </c>
      <c r="D102" s="143">
        <v>5</v>
      </c>
      <c r="E102" s="143">
        <v>5</v>
      </c>
      <c r="F102" s="143">
        <v>5</v>
      </c>
      <c r="G102" s="143">
        <v>5</v>
      </c>
      <c r="H102" s="143">
        <v>5</v>
      </c>
      <c r="I102" s="143"/>
      <c r="J102" s="92">
        <f>SUM(B102:I102)</f>
        <v>35</v>
      </c>
    </row>
    <row r="103" spans="1:12" x14ac:dyDescent="0.2">
      <c r="A103" s="158" t="s">
        <v>1276</v>
      </c>
      <c r="B103" s="146">
        <v>0</v>
      </c>
      <c r="C103" s="146">
        <v>0</v>
      </c>
      <c r="D103" s="146">
        <v>0</v>
      </c>
      <c r="E103" s="146">
        <v>0</v>
      </c>
      <c r="F103" s="146">
        <v>0</v>
      </c>
      <c r="G103" s="146">
        <v>0</v>
      </c>
      <c r="H103" s="146">
        <v>0</v>
      </c>
      <c r="I103" s="146"/>
      <c r="J103" s="152">
        <f>SUM(B103:I103)</f>
        <v>0</v>
      </c>
    </row>
  </sheetData>
  <mergeCells count="72">
    <mergeCell ref="A95:A96"/>
    <mergeCell ref="J95:L96"/>
    <mergeCell ref="A97:A98"/>
    <mergeCell ref="J97:L98"/>
    <mergeCell ref="A99:A100"/>
    <mergeCell ref="J99:L100"/>
    <mergeCell ref="A93:A94"/>
    <mergeCell ref="J93:L94"/>
    <mergeCell ref="A72:A73"/>
    <mergeCell ref="A74:A75"/>
    <mergeCell ref="A76:A77"/>
    <mergeCell ref="A78:A79"/>
    <mergeCell ref="A80:A81"/>
    <mergeCell ref="A82:A83"/>
    <mergeCell ref="A88:L88"/>
    <mergeCell ref="A89:A90"/>
    <mergeCell ref="J89:L90"/>
    <mergeCell ref="A91:A92"/>
    <mergeCell ref="J91:L92"/>
    <mergeCell ref="A62:A63"/>
    <mergeCell ref="L62:L63"/>
    <mergeCell ref="A64:A65"/>
    <mergeCell ref="L64:L65"/>
    <mergeCell ref="A66:A67"/>
    <mergeCell ref="L66:L67"/>
    <mergeCell ref="A60:A61"/>
    <mergeCell ref="L60:L61"/>
    <mergeCell ref="A45:A46"/>
    <mergeCell ref="H45:J46"/>
    <mergeCell ref="A47:A48"/>
    <mergeCell ref="H47:J48"/>
    <mergeCell ref="A49:A50"/>
    <mergeCell ref="H49:J50"/>
    <mergeCell ref="A55:L55"/>
    <mergeCell ref="A56:A57"/>
    <mergeCell ref="L56:L57"/>
    <mergeCell ref="A58:A59"/>
    <mergeCell ref="L58:L59"/>
    <mergeCell ref="A43:A44"/>
    <mergeCell ref="H43:J44"/>
    <mergeCell ref="A24:A25"/>
    <mergeCell ref="A26:A27"/>
    <mergeCell ref="A28:A29"/>
    <mergeCell ref="A30:A31"/>
    <mergeCell ref="E30:G31"/>
    <mergeCell ref="A32:A33"/>
    <mergeCell ref="A38:J38"/>
    <mergeCell ref="A39:A40"/>
    <mergeCell ref="H39:J40"/>
    <mergeCell ref="A41:A42"/>
    <mergeCell ref="H41:J42"/>
    <mergeCell ref="E28:G29"/>
    <mergeCell ref="A15:A16"/>
    <mergeCell ref="K15:L16"/>
    <mergeCell ref="A21:A23"/>
    <mergeCell ref="B21:B22"/>
    <mergeCell ref="C21:C22"/>
    <mergeCell ref="D21:D22"/>
    <mergeCell ref="E21:G22"/>
    <mergeCell ref="A9:A10"/>
    <mergeCell ref="K9:L10"/>
    <mergeCell ref="A11:A12"/>
    <mergeCell ref="K11:L12"/>
    <mergeCell ref="A13:A14"/>
    <mergeCell ref="K13:L14"/>
    <mergeCell ref="A7:A8"/>
    <mergeCell ref="K7:L8"/>
    <mergeCell ref="A3:L3"/>
    <mergeCell ref="A4:A6"/>
    <mergeCell ref="B4:G4"/>
    <mergeCell ref="H4:J4"/>
    <mergeCell ref="K4:L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807B-950D-42E2-AA64-7D272A80D86A}">
  <dimension ref="A1:K63"/>
  <sheetViews>
    <sheetView workbookViewId="0">
      <pane xSplit="1" ySplit="3" topLeftCell="B28" activePane="bottomRight" state="frozen"/>
      <selection pane="bottomLeft" activeCell="A4" sqref="A4"/>
      <selection pane="topRight" activeCell="B1" sqref="B1"/>
      <selection pane="bottomRight" activeCell="F49" sqref="F49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30.26562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11" ht="18.75" x14ac:dyDescent="0.25">
      <c r="A1" s="1" t="s">
        <v>0</v>
      </c>
    </row>
    <row r="3" spans="1:11" x14ac:dyDescent="0.2">
      <c r="A3" s="189" t="s">
        <v>1</v>
      </c>
      <c r="B3" s="189" t="s">
        <v>2</v>
      </c>
      <c r="C3" s="189" t="s">
        <v>3</v>
      </c>
      <c r="D3" s="189" t="s">
        <v>4</v>
      </c>
      <c r="E3" s="189" t="s">
        <v>5</v>
      </c>
      <c r="F3" s="190" t="s">
        <v>6</v>
      </c>
      <c r="G3" s="189" t="s">
        <v>7</v>
      </c>
      <c r="H3" s="189" t="s">
        <v>8</v>
      </c>
    </row>
    <row r="4" spans="1:11" x14ac:dyDescent="0.2">
      <c r="A4" s="276">
        <v>46167</v>
      </c>
      <c r="B4" s="8" t="s">
        <v>9</v>
      </c>
      <c r="C4" s="8" t="s">
        <v>1957</v>
      </c>
      <c r="D4" s="181" t="s">
        <v>1960</v>
      </c>
      <c r="E4" s="172">
        <v>0.41666666666666669</v>
      </c>
      <c r="F4" s="175">
        <v>0.44166666666666665</v>
      </c>
      <c r="G4" s="47" t="s">
        <v>13</v>
      </c>
      <c r="H4" s="192" t="s">
        <v>1973</v>
      </c>
    </row>
    <row r="5" spans="1:11" x14ac:dyDescent="0.2">
      <c r="A5" s="276"/>
      <c r="B5" s="8" t="s">
        <v>9</v>
      </c>
      <c r="C5" s="8" t="s">
        <v>1667</v>
      </c>
      <c r="D5" s="8" t="s">
        <v>1959</v>
      </c>
      <c r="E5" s="172">
        <v>0.41666666666666669</v>
      </c>
      <c r="F5" s="175">
        <v>0.53263888888888888</v>
      </c>
      <c r="G5" s="47" t="s">
        <v>13</v>
      </c>
      <c r="H5" s="192" t="s">
        <v>1974</v>
      </c>
    </row>
    <row r="6" spans="1:11" x14ac:dyDescent="0.2">
      <c r="A6" s="276"/>
      <c r="B6" s="8" t="s">
        <v>14</v>
      </c>
      <c r="C6" s="8" t="s">
        <v>811</v>
      </c>
      <c r="D6" s="8" t="s">
        <v>554</v>
      </c>
      <c r="E6" s="172">
        <v>0.54166666666666663</v>
      </c>
      <c r="F6" s="175">
        <v>0.64444444444444449</v>
      </c>
      <c r="G6" s="47" t="s">
        <v>13</v>
      </c>
      <c r="H6" s="192" t="s">
        <v>1975</v>
      </c>
    </row>
    <row r="7" spans="1:11" x14ac:dyDescent="0.2">
      <c r="A7" s="276"/>
      <c r="B7" s="8" t="s">
        <v>20</v>
      </c>
      <c r="C7" s="10"/>
      <c r="D7" s="10"/>
      <c r="E7" s="172">
        <v>0.66666666666666663</v>
      </c>
      <c r="F7" s="174"/>
      <c r="G7" s="176"/>
      <c r="H7" s="192"/>
    </row>
    <row r="8" spans="1:11" x14ac:dyDescent="0.2">
      <c r="A8" s="276"/>
      <c r="B8" s="8" t="s">
        <v>22</v>
      </c>
      <c r="C8" s="8" t="s">
        <v>305</v>
      </c>
      <c r="D8" s="8" t="s">
        <v>306</v>
      </c>
      <c r="E8" s="172">
        <v>0.70833333333333337</v>
      </c>
      <c r="F8" s="177">
        <v>0.70833333333333337</v>
      </c>
      <c r="G8" s="173" t="s">
        <v>18</v>
      </c>
      <c r="H8" s="192"/>
    </row>
    <row r="9" spans="1:11" x14ac:dyDescent="0.2">
      <c r="A9" s="276"/>
      <c r="B9" s="8" t="s">
        <v>26</v>
      </c>
      <c r="C9" s="8"/>
      <c r="D9" s="8"/>
      <c r="E9" s="172">
        <v>0.66666666666666663</v>
      </c>
      <c r="F9" s="175"/>
      <c r="G9" s="79"/>
      <c r="H9" s="286" t="s">
        <v>1964</v>
      </c>
    </row>
    <row r="10" spans="1:11" x14ac:dyDescent="0.2">
      <c r="A10" s="276"/>
      <c r="B10" s="8" t="s">
        <v>26</v>
      </c>
      <c r="C10" s="8"/>
      <c r="D10" s="8"/>
      <c r="E10" s="172">
        <v>0.66666666666666663</v>
      </c>
      <c r="F10" s="174"/>
      <c r="G10" s="78"/>
      <c r="H10" s="286"/>
    </row>
    <row r="11" spans="1:11" x14ac:dyDescent="0.2">
      <c r="A11" s="276"/>
      <c r="B11" s="8" t="s">
        <v>26</v>
      </c>
      <c r="C11" s="8"/>
      <c r="D11" s="8"/>
      <c r="E11" s="172">
        <v>0.66666666666666663</v>
      </c>
      <c r="F11" s="174"/>
      <c r="G11" s="78"/>
      <c r="H11" s="286"/>
    </row>
    <row r="12" spans="1:11" x14ac:dyDescent="0.2">
      <c r="A12" s="276"/>
      <c r="B12" s="8" t="s">
        <v>26</v>
      </c>
      <c r="C12" s="8"/>
      <c r="D12" s="8"/>
      <c r="E12" s="172">
        <v>0.66666666666666663</v>
      </c>
      <c r="F12" s="175"/>
      <c r="G12" s="79"/>
      <c r="H12" s="286"/>
    </row>
    <row r="13" spans="1:11" x14ac:dyDescent="0.2">
      <c r="A13" s="276"/>
      <c r="B13" s="8" t="s">
        <v>26</v>
      </c>
      <c r="C13" s="8"/>
      <c r="D13" s="8"/>
      <c r="E13" s="172">
        <v>0.66666666666666663</v>
      </c>
      <c r="F13" s="174"/>
      <c r="G13" s="78"/>
      <c r="H13" s="286"/>
    </row>
    <row r="14" spans="1:11" x14ac:dyDescent="0.2">
      <c r="A14" s="276"/>
      <c r="B14" s="8" t="s">
        <v>1443</v>
      </c>
      <c r="C14" s="8" t="s">
        <v>563</v>
      </c>
      <c r="D14" s="8" t="s">
        <v>1958</v>
      </c>
      <c r="E14" s="172">
        <v>0.66666666666666663</v>
      </c>
      <c r="F14" s="174">
        <v>0.5756944444444444</v>
      </c>
      <c r="G14" s="173" t="s">
        <v>18</v>
      </c>
      <c r="H14" s="192"/>
      <c r="J14" s="8"/>
      <c r="K14" s="8"/>
    </row>
    <row r="15" spans="1:11" x14ac:dyDescent="0.2">
      <c r="A15" s="120"/>
      <c r="G15" s="161"/>
      <c r="H15" s="158"/>
    </row>
    <row r="16" spans="1:11" x14ac:dyDescent="0.2">
      <c r="A16" s="276">
        <v>46168</v>
      </c>
      <c r="B16" s="8" t="s">
        <v>315</v>
      </c>
      <c r="C16" s="8" t="s">
        <v>336</v>
      </c>
      <c r="D16" s="8" t="s">
        <v>1962</v>
      </c>
      <c r="E16" s="172">
        <v>0.41666666666666669</v>
      </c>
      <c r="F16" s="175">
        <v>0.45347222222222222</v>
      </c>
      <c r="G16" s="47" t="s">
        <v>13</v>
      </c>
      <c r="H16" s="192" t="s">
        <v>1999</v>
      </c>
    </row>
    <row r="17" spans="1:8" x14ac:dyDescent="0.2">
      <c r="A17" s="276"/>
      <c r="B17" s="8" t="s">
        <v>315</v>
      </c>
      <c r="C17" s="8" t="s">
        <v>305</v>
      </c>
      <c r="D17" s="8" t="s">
        <v>306</v>
      </c>
      <c r="E17" s="172">
        <v>0.41666666666666669</v>
      </c>
      <c r="F17" s="177">
        <v>0.37222222222222223</v>
      </c>
      <c r="G17" s="173" t="s">
        <v>18</v>
      </c>
      <c r="H17" s="192"/>
    </row>
    <row r="18" spans="1:8" x14ac:dyDescent="0.2">
      <c r="A18" s="276"/>
      <c r="B18" s="8" t="s">
        <v>1983</v>
      </c>
      <c r="C18" s="8" t="s">
        <v>332</v>
      </c>
      <c r="D18" s="8" t="s">
        <v>1963</v>
      </c>
      <c r="E18" s="172">
        <v>0.41666666666666669</v>
      </c>
      <c r="F18" s="175">
        <v>0.44583333333333336</v>
      </c>
      <c r="G18" s="47" t="s">
        <v>13</v>
      </c>
      <c r="H18" s="193" t="s">
        <v>1984</v>
      </c>
    </row>
    <row r="19" spans="1:8" x14ac:dyDescent="0.2">
      <c r="A19" s="276"/>
      <c r="B19" s="8" t="s">
        <v>14</v>
      </c>
      <c r="C19" s="8" t="s">
        <v>320</v>
      </c>
      <c r="D19" s="8" t="s">
        <v>321</v>
      </c>
      <c r="E19" s="172">
        <v>0.54166666666666663</v>
      </c>
      <c r="F19" s="177">
        <v>0.49236111111111114</v>
      </c>
      <c r="G19" s="173" t="s">
        <v>18</v>
      </c>
      <c r="H19" s="192"/>
    </row>
    <row r="20" spans="1:8" x14ac:dyDescent="0.2">
      <c r="A20" s="276"/>
      <c r="B20" s="8" t="s">
        <v>20</v>
      </c>
      <c r="C20" s="10"/>
      <c r="D20" s="10"/>
      <c r="E20" s="172">
        <v>0.70833333333333337</v>
      </c>
      <c r="F20" s="177"/>
      <c r="G20" s="160"/>
      <c r="H20" s="192"/>
    </row>
    <row r="21" spans="1:8" x14ac:dyDescent="0.2">
      <c r="A21" s="276"/>
      <c r="B21" s="8" t="s">
        <v>22</v>
      </c>
      <c r="C21" s="8" t="s">
        <v>326</v>
      </c>
      <c r="D21" s="8" t="s">
        <v>1675</v>
      </c>
      <c r="E21" s="172">
        <v>0.70833333333333337</v>
      </c>
      <c r="F21" s="177">
        <v>0.65347222222222223</v>
      </c>
      <c r="G21" s="173" t="s">
        <v>18</v>
      </c>
      <c r="H21" s="192"/>
    </row>
    <row r="22" spans="1:8" x14ac:dyDescent="0.2">
      <c r="A22" s="276"/>
      <c r="B22" s="8" t="s">
        <v>26</v>
      </c>
      <c r="C22" s="8" t="s">
        <v>1978</v>
      </c>
      <c r="D22" s="8" t="s">
        <v>554</v>
      </c>
      <c r="E22" s="172">
        <v>0.66666666666666663</v>
      </c>
      <c r="F22" s="177">
        <v>0.59583333333333333</v>
      </c>
      <c r="G22" s="173" t="s">
        <v>18</v>
      </c>
      <c r="H22" s="192"/>
    </row>
    <row r="23" spans="1:8" x14ac:dyDescent="0.2">
      <c r="A23" s="276"/>
      <c r="B23" s="8" t="s">
        <v>26</v>
      </c>
      <c r="C23" s="8" t="s">
        <v>1979</v>
      </c>
      <c r="D23" s="8" t="s">
        <v>559</v>
      </c>
      <c r="E23" s="172">
        <v>0.66666666666666663</v>
      </c>
      <c r="F23" s="177">
        <v>0.61111111111111116</v>
      </c>
      <c r="G23" s="173" t="s">
        <v>18</v>
      </c>
      <c r="H23" s="192"/>
    </row>
    <row r="24" spans="1:8" x14ac:dyDescent="0.2">
      <c r="A24" s="276"/>
      <c r="B24" s="8" t="s">
        <v>26</v>
      </c>
      <c r="C24" s="8" t="s">
        <v>1026</v>
      </c>
      <c r="D24" s="8" t="s">
        <v>569</v>
      </c>
      <c r="E24" s="172">
        <v>0.66666666666666663</v>
      </c>
      <c r="F24" s="177">
        <v>0.61250000000000004</v>
      </c>
      <c r="G24" s="173" t="s">
        <v>18</v>
      </c>
      <c r="H24" s="192"/>
    </row>
    <row r="25" spans="1:8" x14ac:dyDescent="0.2">
      <c r="A25" s="276"/>
      <c r="B25" s="8" t="s">
        <v>26</v>
      </c>
      <c r="C25" s="8" t="s">
        <v>323</v>
      </c>
      <c r="D25" s="8" t="s">
        <v>324</v>
      </c>
      <c r="E25" s="172">
        <v>0.66666666666666663</v>
      </c>
      <c r="F25" s="177">
        <v>0.4909722222222222</v>
      </c>
      <c r="G25" s="173" t="s">
        <v>18</v>
      </c>
      <c r="H25" s="192"/>
    </row>
    <row r="26" spans="1:8" x14ac:dyDescent="0.2">
      <c r="A26" s="276"/>
      <c r="B26" s="8" t="s">
        <v>26</v>
      </c>
      <c r="C26" s="8" t="s">
        <v>793</v>
      </c>
      <c r="D26" s="8" t="s">
        <v>1029</v>
      </c>
      <c r="E26" s="172">
        <v>0.66666666666666663</v>
      </c>
      <c r="F26" s="177">
        <v>0.63055555555555554</v>
      </c>
      <c r="G26" s="173" t="s">
        <v>18</v>
      </c>
      <c r="H26" s="192"/>
    </row>
    <row r="27" spans="1:8" x14ac:dyDescent="0.2">
      <c r="A27" s="276"/>
      <c r="B27" s="8" t="s">
        <v>1443</v>
      </c>
      <c r="C27" s="8" t="s">
        <v>565</v>
      </c>
      <c r="D27" s="8" t="s">
        <v>1037</v>
      </c>
      <c r="E27" s="172">
        <v>0.66666666666666663</v>
      </c>
      <c r="F27" s="177">
        <v>0.57361111111111107</v>
      </c>
      <c r="G27" s="173" t="s">
        <v>18</v>
      </c>
      <c r="H27" s="192"/>
    </row>
    <row r="28" spans="1:8" x14ac:dyDescent="0.2">
      <c r="A28" s="120"/>
      <c r="F28" s="113"/>
      <c r="G28" s="161"/>
      <c r="H28" s="158"/>
    </row>
    <row r="29" spans="1:8" x14ac:dyDescent="0.2">
      <c r="A29" s="391">
        <v>46169</v>
      </c>
      <c r="B29" s="182" t="s">
        <v>9</v>
      </c>
      <c r="C29" s="182"/>
      <c r="D29" s="182"/>
      <c r="E29" s="183">
        <v>0.41666666666666669</v>
      </c>
      <c r="F29" s="184"/>
      <c r="G29" s="83"/>
      <c r="H29" s="388" t="s">
        <v>1980</v>
      </c>
    </row>
    <row r="30" spans="1:8" x14ac:dyDescent="0.2">
      <c r="A30" s="391"/>
      <c r="B30" s="182" t="s">
        <v>14</v>
      </c>
      <c r="C30" s="182"/>
      <c r="D30" s="182"/>
      <c r="E30" s="183">
        <v>0.54166666666666663</v>
      </c>
      <c r="F30" s="184"/>
      <c r="G30" s="83"/>
      <c r="H30" s="389"/>
    </row>
    <row r="31" spans="1:8" x14ac:dyDescent="0.2">
      <c r="A31" s="391"/>
      <c r="B31" s="182" t="s">
        <v>20</v>
      </c>
      <c r="C31" s="182"/>
      <c r="D31" s="182"/>
      <c r="E31" s="183">
        <v>0.66666666666666663</v>
      </c>
      <c r="F31" s="184"/>
      <c r="G31" s="185"/>
      <c r="H31" s="389"/>
    </row>
    <row r="32" spans="1:8" x14ac:dyDescent="0.2">
      <c r="A32" s="391"/>
      <c r="B32" s="182" t="s">
        <v>22</v>
      </c>
      <c r="C32" s="182"/>
      <c r="D32" s="182"/>
      <c r="E32" s="183">
        <v>0.70833333333333337</v>
      </c>
      <c r="F32" s="184"/>
      <c r="G32" s="83"/>
      <c r="H32" s="389"/>
    </row>
    <row r="33" spans="1:8" x14ac:dyDescent="0.2">
      <c r="A33" s="391"/>
      <c r="B33" s="182" t="s">
        <v>26</v>
      </c>
      <c r="C33" s="182"/>
      <c r="D33" s="182"/>
      <c r="E33" s="183">
        <v>0.70833333333333337</v>
      </c>
      <c r="F33" s="184"/>
      <c r="G33" s="83"/>
      <c r="H33" s="389"/>
    </row>
    <row r="34" spans="1:8" x14ac:dyDescent="0.2">
      <c r="A34" s="391"/>
      <c r="B34" s="182" t="s">
        <v>26</v>
      </c>
      <c r="C34" s="182"/>
      <c r="D34" s="182"/>
      <c r="E34" s="183">
        <v>0.66666666666666663</v>
      </c>
      <c r="F34" s="184"/>
      <c r="G34" s="83"/>
      <c r="H34" s="389"/>
    </row>
    <row r="35" spans="1:8" x14ac:dyDescent="0.2">
      <c r="A35" s="391"/>
      <c r="B35" s="182" t="s">
        <v>26</v>
      </c>
      <c r="C35" s="182"/>
      <c r="D35" s="182"/>
      <c r="E35" s="183">
        <v>0.66666666666666663</v>
      </c>
      <c r="F35" s="184"/>
      <c r="G35" s="186"/>
      <c r="H35" s="389"/>
    </row>
    <row r="36" spans="1:8" x14ac:dyDescent="0.2">
      <c r="A36" s="391"/>
      <c r="B36" s="182" t="s">
        <v>1443</v>
      </c>
      <c r="C36" s="182"/>
      <c r="D36" s="182"/>
      <c r="E36" s="183">
        <v>0.66666666666666663</v>
      </c>
      <c r="F36" s="184"/>
      <c r="G36" s="83"/>
      <c r="H36" s="389"/>
    </row>
    <row r="37" spans="1:8" x14ac:dyDescent="0.2">
      <c r="A37" s="391"/>
      <c r="B37" s="182" t="s">
        <v>1443</v>
      </c>
      <c r="C37" s="182"/>
      <c r="D37" s="182"/>
      <c r="E37" s="183">
        <v>0.66666666666666663</v>
      </c>
      <c r="F37" s="187"/>
      <c r="G37" s="188"/>
      <c r="H37" s="390"/>
    </row>
    <row r="38" spans="1:8" x14ac:dyDescent="0.2">
      <c r="A38" s="120"/>
      <c r="E38" s="177"/>
      <c r="F38" s="177"/>
      <c r="G38" s="161"/>
      <c r="H38" s="194"/>
    </row>
    <row r="39" spans="1:8" x14ac:dyDescent="0.2">
      <c r="A39" s="376">
        <v>46170</v>
      </c>
      <c r="B39" s="8" t="s">
        <v>9</v>
      </c>
      <c r="C39" s="8" t="s">
        <v>556</v>
      </c>
      <c r="D39" s="8" t="s">
        <v>2005</v>
      </c>
      <c r="E39" s="172">
        <v>0.41666666666666669</v>
      </c>
      <c r="F39" s="177">
        <v>0.39444444444444443</v>
      </c>
      <c r="G39" s="173" t="s">
        <v>18</v>
      </c>
      <c r="H39" s="195"/>
    </row>
    <row r="40" spans="1:8" x14ac:dyDescent="0.2">
      <c r="A40" s="377"/>
      <c r="B40" s="8" t="s">
        <v>9</v>
      </c>
      <c r="C40" s="8" t="s">
        <v>326</v>
      </c>
      <c r="D40" s="8" t="s">
        <v>1675</v>
      </c>
      <c r="E40" s="172">
        <v>0.41666666666666669</v>
      </c>
      <c r="F40" s="177">
        <v>0.40486111111111112</v>
      </c>
      <c r="G40" s="173" t="s">
        <v>18</v>
      </c>
      <c r="H40" s="195"/>
    </row>
    <row r="41" spans="1:8" x14ac:dyDescent="0.2">
      <c r="A41" s="377"/>
      <c r="B41" s="8" t="s">
        <v>14</v>
      </c>
      <c r="C41" s="8" t="s">
        <v>320</v>
      </c>
      <c r="D41" s="8" t="s">
        <v>321</v>
      </c>
      <c r="E41" s="172">
        <v>0.54166666666666663</v>
      </c>
      <c r="F41" s="177">
        <v>0.53541666666666665</v>
      </c>
      <c r="G41" s="173" t="s">
        <v>18</v>
      </c>
      <c r="H41" s="195"/>
    </row>
    <row r="42" spans="1:8" x14ac:dyDescent="0.2">
      <c r="A42" s="377"/>
      <c r="B42" s="8" t="s">
        <v>20</v>
      </c>
      <c r="C42" s="8" t="s">
        <v>1026</v>
      </c>
      <c r="D42" s="8" t="s">
        <v>569</v>
      </c>
      <c r="E42" s="172">
        <v>0.66666666666666663</v>
      </c>
      <c r="F42" s="175">
        <v>0.6743055555555556</v>
      </c>
      <c r="G42" s="47" t="s">
        <v>13</v>
      </c>
      <c r="H42" s="195"/>
    </row>
    <row r="43" spans="1:8" x14ac:dyDescent="0.2">
      <c r="A43" s="377"/>
      <c r="B43" s="8" t="s">
        <v>22</v>
      </c>
      <c r="C43" s="8" t="s">
        <v>305</v>
      </c>
      <c r="D43" s="8" t="s">
        <v>306</v>
      </c>
      <c r="E43" s="172">
        <v>0.70833333333333337</v>
      </c>
      <c r="F43" s="177">
        <v>0.42222222222222222</v>
      </c>
      <c r="G43" s="173" t="s">
        <v>18</v>
      </c>
      <c r="H43" s="195"/>
    </row>
    <row r="44" spans="1:8" x14ac:dyDescent="0.2">
      <c r="A44" s="377"/>
      <c r="B44" s="8" t="s">
        <v>26</v>
      </c>
      <c r="C44" s="8" t="s">
        <v>2022</v>
      </c>
      <c r="D44" s="8" t="s">
        <v>561</v>
      </c>
      <c r="E44" s="172">
        <v>0.66666666666666663</v>
      </c>
      <c r="F44" s="175">
        <v>0.68194444444444446</v>
      </c>
      <c r="G44" s="47" t="s">
        <v>13</v>
      </c>
      <c r="H44" s="195" t="s">
        <v>2024</v>
      </c>
    </row>
    <row r="45" spans="1:8" x14ac:dyDescent="0.2">
      <c r="A45" s="377"/>
      <c r="B45" s="8" t="s">
        <v>26</v>
      </c>
      <c r="C45" s="8" t="s">
        <v>307</v>
      </c>
      <c r="D45" s="8" t="s">
        <v>308</v>
      </c>
      <c r="E45" s="172">
        <v>0.66666666666666663</v>
      </c>
      <c r="F45" s="175">
        <v>0.73055555555555551</v>
      </c>
      <c r="G45" s="47" t="s">
        <v>13</v>
      </c>
      <c r="H45" s="195" t="s">
        <v>2025</v>
      </c>
    </row>
    <row r="46" spans="1:8" x14ac:dyDescent="0.2">
      <c r="A46" s="377"/>
      <c r="B46" s="8" t="s">
        <v>26</v>
      </c>
      <c r="C46" s="8" t="s">
        <v>1880</v>
      </c>
      <c r="D46" s="8"/>
      <c r="E46" s="172">
        <v>0.66666666666666663</v>
      </c>
      <c r="F46" s="177">
        <v>0.65277777777777779</v>
      </c>
      <c r="G46" s="173" t="s">
        <v>18</v>
      </c>
      <c r="H46" s="195"/>
    </row>
    <row r="47" spans="1:8" x14ac:dyDescent="0.2">
      <c r="A47" s="377"/>
      <c r="B47" s="8" t="s">
        <v>26</v>
      </c>
      <c r="C47" s="8" t="s">
        <v>1667</v>
      </c>
      <c r="D47" s="8" t="s">
        <v>1959</v>
      </c>
      <c r="E47" s="172">
        <v>0.66666666666666663</v>
      </c>
      <c r="F47" s="175">
        <v>0.75902777777777775</v>
      </c>
      <c r="G47" s="47" t="s">
        <v>13</v>
      </c>
      <c r="H47" s="195" t="s">
        <v>2026</v>
      </c>
    </row>
    <row r="48" spans="1:8" x14ac:dyDescent="0.2">
      <c r="A48" s="378"/>
      <c r="B48" s="8" t="s">
        <v>1443</v>
      </c>
      <c r="C48" s="8" t="s">
        <v>2020</v>
      </c>
      <c r="D48" s="8" t="s">
        <v>2021</v>
      </c>
      <c r="E48" s="172">
        <v>0.66666666666666663</v>
      </c>
      <c r="F48" s="177">
        <v>0.64583333333333337</v>
      </c>
      <c r="G48" s="173" t="s">
        <v>18</v>
      </c>
      <c r="H48" s="195"/>
    </row>
    <row r="49" spans="1:8" x14ac:dyDescent="0.2">
      <c r="A49" s="120"/>
      <c r="F49" s="191"/>
      <c r="G49" s="161"/>
      <c r="H49" s="194"/>
    </row>
    <row r="50" spans="1:8" x14ac:dyDescent="0.2">
      <c r="A50" s="376">
        <v>46171</v>
      </c>
      <c r="B50" s="8" t="s">
        <v>9</v>
      </c>
      <c r="C50" s="8" t="s">
        <v>318</v>
      </c>
      <c r="D50" s="8" t="s">
        <v>1454</v>
      </c>
      <c r="E50" s="172">
        <v>0.41666666666666669</v>
      </c>
      <c r="F50" s="175">
        <v>0.50416666666666665</v>
      </c>
      <c r="G50" s="47" t="s">
        <v>13</v>
      </c>
      <c r="H50" s="195" t="s">
        <v>2113</v>
      </c>
    </row>
    <row r="51" spans="1:8" x14ac:dyDescent="0.2">
      <c r="A51" s="377"/>
      <c r="B51" s="8" t="s">
        <v>14</v>
      </c>
      <c r="C51" s="8" t="s">
        <v>320</v>
      </c>
      <c r="D51" s="8" t="s">
        <v>321</v>
      </c>
      <c r="E51" s="172">
        <v>0.54166666666666663</v>
      </c>
      <c r="F51" s="177">
        <v>0.40555555555555556</v>
      </c>
      <c r="G51" s="173" t="s">
        <v>18</v>
      </c>
      <c r="H51" s="195"/>
    </row>
    <row r="52" spans="1:8" x14ac:dyDescent="0.2">
      <c r="A52" s="377"/>
      <c r="B52" s="8" t="s">
        <v>20</v>
      </c>
      <c r="C52" s="8"/>
      <c r="D52" s="8"/>
      <c r="E52" s="172">
        <v>0.66666666666666663</v>
      </c>
      <c r="F52" s="177"/>
      <c r="G52" s="159"/>
      <c r="H52" s="195"/>
    </row>
    <row r="53" spans="1:8" x14ac:dyDescent="0.2">
      <c r="A53" s="377"/>
      <c r="B53" s="8" t="s">
        <v>22</v>
      </c>
      <c r="C53" s="8" t="s">
        <v>326</v>
      </c>
      <c r="D53" s="8" t="s">
        <v>2112</v>
      </c>
      <c r="E53" s="172">
        <v>0.70833333333333337</v>
      </c>
      <c r="F53" s="177">
        <v>0.68055555555555558</v>
      </c>
      <c r="G53" s="173" t="s">
        <v>18</v>
      </c>
      <c r="H53" s="195"/>
    </row>
    <row r="54" spans="1:8" x14ac:dyDescent="0.2">
      <c r="A54" s="377"/>
      <c r="B54" s="8" t="s">
        <v>26</v>
      </c>
      <c r="C54" s="8" t="s">
        <v>307</v>
      </c>
      <c r="D54" s="8" t="s">
        <v>308</v>
      </c>
      <c r="E54" s="172">
        <v>0.66666666666666663</v>
      </c>
      <c r="F54" s="177">
        <v>0.62569444444444444</v>
      </c>
      <c r="G54" s="173" t="s">
        <v>18</v>
      </c>
      <c r="H54" s="195"/>
    </row>
    <row r="55" spans="1:8" x14ac:dyDescent="0.2">
      <c r="A55" s="377"/>
      <c r="B55" s="8" t="s">
        <v>26</v>
      </c>
      <c r="C55" s="8" t="s">
        <v>2110</v>
      </c>
      <c r="D55" s="8" t="s">
        <v>2111</v>
      </c>
      <c r="E55" s="172">
        <v>0.66666666666666663</v>
      </c>
      <c r="F55" s="177">
        <v>0.61458333333333337</v>
      </c>
      <c r="G55" s="173" t="s">
        <v>18</v>
      </c>
      <c r="H55" s="195"/>
    </row>
    <row r="56" spans="1:8" x14ac:dyDescent="0.2">
      <c r="A56" s="377"/>
      <c r="B56" s="8" t="s">
        <v>26</v>
      </c>
      <c r="C56" s="8" t="s">
        <v>793</v>
      </c>
      <c r="D56" s="8" t="s">
        <v>1029</v>
      </c>
      <c r="E56" s="172">
        <v>0.66666666666666663</v>
      </c>
      <c r="F56" s="177">
        <v>0.6118055555555556</v>
      </c>
      <c r="G56" s="173" t="s">
        <v>18</v>
      </c>
      <c r="H56" s="195"/>
    </row>
    <row r="57" spans="1:8" x14ac:dyDescent="0.2">
      <c r="A57" s="377"/>
      <c r="B57" s="8" t="s">
        <v>1443</v>
      </c>
      <c r="C57" s="8" t="s">
        <v>323</v>
      </c>
      <c r="D57" s="8" t="s">
        <v>324</v>
      </c>
      <c r="E57" s="172">
        <v>0.66666666666666663</v>
      </c>
      <c r="F57" s="175">
        <v>0.69652777777777775</v>
      </c>
      <c r="G57" s="47" t="s">
        <v>13</v>
      </c>
      <c r="H57" s="195" t="s">
        <v>2115</v>
      </c>
    </row>
    <row r="58" spans="1:8" x14ac:dyDescent="0.2">
      <c r="A58" s="378"/>
      <c r="B58" s="8" t="s">
        <v>1443</v>
      </c>
      <c r="C58" s="8" t="s">
        <v>550</v>
      </c>
      <c r="D58" s="8" t="s">
        <v>559</v>
      </c>
      <c r="E58" s="172">
        <v>0.66666666666666663</v>
      </c>
      <c r="F58" s="177">
        <v>0.64444444444444449</v>
      </c>
      <c r="G58" s="173" t="s">
        <v>18</v>
      </c>
      <c r="H58" s="195"/>
    </row>
    <row r="60" spans="1:8" x14ac:dyDescent="0.2">
      <c r="A60" s="96" t="s">
        <v>1228</v>
      </c>
      <c r="B60" s="386">
        <v>34</v>
      </c>
      <c r="C60" s="387"/>
    </row>
    <row r="61" spans="1:8" x14ac:dyDescent="0.2">
      <c r="A61" s="96" t="s">
        <v>1229</v>
      </c>
      <c r="B61" s="78">
        <v>23</v>
      </c>
      <c r="C61" s="179">
        <f>B61/B60</f>
        <v>0.67647058823529416</v>
      </c>
    </row>
    <row r="62" spans="1:8" x14ac:dyDescent="0.2">
      <c r="A62" s="96" t="s">
        <v>1230</v>
      </c>
      <c r="B62" s="97">
        <v>11</v>
      </c>
      <c r="C62" s="180">
        <f>B62/B60</f>
        <v>0.3235294117647059</v>
      </c>
    </row>
    <row r="63" spans="1:8" x14ac:dyDescent="0.2">
      <c r="B63" s="141"/>
    </row>
  </sheetData>
  <autoFilter ref="A3:H14" xr:uid="{007222C0-65E8-4432-AB3E-97A35AC12FA3}"/>
  <mergeCells count="8">
    <mergeCell ref="A39:A48"/>
    <mergeCell ref="A50:A58"/>
    <mergeCell ref="B60:C60"/>
    <mergeCell ref="H9:H13"/>
    <mergeCell ref="H29:H37"/>
    <mergeCell ref="A4:A14"/>
    <mergeCell ref="A16:A27"/>
    <mergeCell ref="A29:A37"/>
  </mergeCells>
  <conditionalFormatting sqref="E38 F50:F58">
    <cfRule type="expression" dxfId="16" priority="5">
      <formula>AND(E38&lt;=D38,E38&lt;&gt;"")</formula>
    </cfRule>
    <cfRule type="expression" dxfId="15" priority="6">
      <formula>E38&gt;D38</formula>
    </cfRule>
  </conditionalFormatting>
  <conditionalFormatting sqref="F4:F14 F16:F27 F29:F48">
    <cfRule type="expression" dxfId="14" priority="7">
      <formula>AND(F4&lt;=E4,F4&lt;&gt;"")</formula>
    </cfRule>
    <cfRule type="expression" dxfId="13" priority="8">
      <formula>F4&gt;E4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88C2-9E9F-46D2-9AA2-163651C23BAC}">
  <dimension ref="A1:P103"/>
  <sheetViews>
    <sheetView topLeftCell="A40" workbookViewId="0">
      <selection activeCell="A80" sqref="A80:A81"/>
    </sheetView>
  </sheetViews>
  <sheetFormatPr defaultRowHeight="15" x14ac:dyDescent="0.2"/>
  <cols>
    <col min="1" max="1" width="24.078125" customWidth="1"/>
    <col min="2" max="2" width="20.58203125" style="2" customWidth="1"/>
    <col min="3" max="12" width="20.58203125" customWidth="1"/>
    <col min="13" max="13" width="58.91796875" customWidth="1"/>
    <col min="14" max="23" width="20.58203125" customWidth="1"/>
  </cols>
  <sheetData>
    <row r="1" spans="1:13" ht="18.75" x14ac:dyDescent="0.25">
      <c r="A1" s="1" t="s">
        <v>32</v>
      </c>
    </row>
    <row r="3" spans="1:13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spans="1:13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/>
      <c r="I4" s="281" t="s">
        <v>22</v>
      </c>
      <c r="J4" s="281"/>
      <c r="K4" s="281"/>
      <c r="L4" s="282" t="s">
        <v>8</v>
      </c>
      <c r="M4" s="282"/>
    </row>
    <row r="5" spans="1:13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1997</v>
      </c>
      <c r="H5" s="5" t="s">
        <v>40</v>
      </c>
      <c r="I5" s="4" t="s">
        <v>35</v>
      </c>
      <c r="J5" s="5" t="s">
        <v>36</v>
      </c>
      <c r="K5" s="5" t="s">
        <v>37</v>
      </c>
      <c r="L5" s="282"/>
      <c r="M5" s="282"/>
    </row>
    <row r="6" spans="1:13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264</v>
      </c>
      <c r="H6" s="15" t="s">
        <v>45</v>
      </c>
      <c r="I6" s="15" t="s">
        <v>46</v>
      </c>
      <c r="J6" s="15" t="s">
        <v>47</v>
      </c>
      <c r="K6" s="15" t="s">
        <v>47</v>
      </c>
      <c r="L6" s="282"/>
      <c r="M6" s="282"/>
    </row>
    <row r="7" spans="1:13" x14ac:dyDescent="0.2">
      <c r="A7" s="379">
        <v>46167</v>
      </c>
      <c r="B7" s="51" t="s">
        <v>1967</v>
      </c>
      <c r="C7" s="51" t="s">
        <v>1972</v>
      </c>
      <c r="D7" s="51" t="s">
        <v>1972</v>
      </c>
      <c r="E7" s="53"/>
      <c r="F7" s="53"/>
      <c r="G7" s="53"/>
      <c r="H7" s="53"/>
      <c r="I7" s="53" t="s">
        <v>1968</v>
      </c>
      <c r="J7" s="53" t="s">
        <v>1971</v>
      </c>
      <c r="K7" s="53" t="s">
        <v>1971</v>
      </c>
      <c r="L7" s="277" t="s">
        <v>1965</v>
      </c>
      <c r="M7" s="278"/>
    </row>
    <row r="8" spans="1:13" ht="68.25" x14ac:dyDescent="0.2">
      <c r="A8" s="379"/>
      <c r="B8" s="9" t="s">
        <v>1966</v>
      </c>
      <c r="C8" s="9" t="s">
        <v>1969</v>
      </c>
      <c r="D8" s="9">
        <v>8260100377</v>
      </c>
      <c r="E8" s="9"/>
      <c r="F8" s="9"/>
      <c r="G8" s="9"/>
      <c r="H8" s="9"/>
      <c r="I8" s="9">
        <v>8260100402</v>
      </c>
      <c r="J8" s="9" t="s">
        <v>1970</v>
      </c>
      <c r="K8" s="9">
        <v>8260100403</v>
      </c>
      <c r="L8" s="278"/>
      <c r="M8" s="278"/>
    </row>
    <row r="9" spans="1:13" x14ac:dyDescent="0.2">
      <c r="A9" s="276">
        <v>46168</v>
      </c>
      <c r="B9" s="53" t="s">
        <v>1987</v>
      </c>
      <c r="C9" s="51" t="s">
        <v>1990</v>
      </c>
      <c r="D9" s="51" t="s">
        <v>1990</v>
      </c>
      <c r="E9" s="53" t="s">
        <v>1994</v>
      </c>
      <c r="F9" s="53" t="s">
        <v>1996</v>
      </c>
      <c r="G9" s="53" t="s">
        <v>1998</v>
      </c>
      <c r="H9" s="53"/>
      <c r="I9" s="74" t="s">
        <v>1988</v>
      </c>
      <c r="J9" s="74" t="s">
        <v>1991</v>
      </c>
      <c r="K9" s="74" t="s">
        <v>1991</v>
      </c>
      <c r="L9" s="283" t="s">
        <v>1250</v>
      </c>
      <c r="M9" s="283"/>
    </row>
    <row r="10" spans="1:13" ht="68.25" customHeight="1" x14ac:dyDescent="0.2">
      <c r="A10" s="276"/>
      <c r="B10" s="9" t="s">
        <v>1985</v>
      </c>
      <c r="C10" s="9" t="s">
        <v>1989</v>
      </c>
      <c r="D10" s="9" t="s">
        <v>1992</v>
      </c>
      <c r="E10" s="9" t="s">
        <v>1993</v>
      </c>
      <c r="F10" s="9" t="s">
        <v>1995</v>
      </c>
      <c r="G10" s="9">
        <v>8260100370</v>
      </c>
      <c r="H10" s="9"/>
      <c r="I10" s="9" t="s">
        <v>1986</v>
      </c>
      <c r="J10" s="9">
        <v>8260100479</v>
      </c>
      <c r="K10" s="9">
        <v>8260100480</v>
      </c>
      <c r="L10" s="283"/>
      <c r="M10" s="283"/>
    </row>
    <row r="11" spans="1:13" ht="15" customHeight="1" x14ac:dyDescent="0.2">
      <c r="A11" s="276">
        <v>46169</v>
      </c>
      <c r="B11" s="53"/>
      <c r="C11" s="53"/>
      <c r="D11" s="53"/>
      <c r="E11" s="53"/>
      <c r="F11" s="53"/>
      <c r="G11" s="53"/>
      <c r="H11" s="53"/>
      <c r="I11" s="74"/>
      <c r="J11" s="56"/>
      <c r="K11" s="56"/>
      <c r="L11" s="278" t="s">
        <v>2001</v>
      </c>
      <c r="M11" s="278"/>
    </row>
    <row r="12" spans="1:13" ht="69.95" customHeight="1" x14ac:dyDescent="0.2">
      <c r="A12" s="276"/>
      <c r="B12" s="9"/>
      <c r="C12" s="9"/>
      <c r="D12" s="9"/>
      <c r="E12" s="9"/>
      <c r="F12" s="9"/>
      <c r="G12" s="9"/>
      <c r="H12" s="9"/>
      <c r="I12" s="9"/>
      <c r="J12" s="9"/>
      <c r="K12" s="9"/>
      <c r="L12" s="278"/>
      <c r="M12" s="278"/>
    </row>
    <row r="13" spans="1:13" x14ac:dyDescent="0.2">
      <c r="A13" s="276">
        <v>46170</v>
      </c>
      <c r="B13" s="53" t="s">
        <v>2010</v>
      </c>
      <c r="C13" s="53" t="s">
        <v>2012</v>
      </c>
      <c r="D13" s="53" t="s">
        <v>2012</v>
      </c>
      <c r="E13" s="53" t="s">
        <v>2016</v>
      </c>
      <c r="F13" s="53" t="s">
        <v>2017</v>
      </c>
      <c r="G13" s="53"/>
      <c r="H13" s="53"/>
      <c r="I13" s="74" t="s">
        <v>2011</v>
      </c>
      <c r="J13" s="56" t="s">
        <v>2015</v>
      </c>
      <c r="K13" s="56" t="s">
        <v>2015</v>
      </c>
      <c r="L13" s="278"/>
      <c r="M13" s="278"/>
    </row>
    <row r="14" spans="1:13" ht="69.95" customHeight="1" x14ac:dyDescent="0.2">
      <c r="A14" s="276"/>
      <c r="B14" s="9" t="s">
        <v>2008</v>
      </c>
      <c r="C14" s="9" t="s">
        <v>2013</v>
      </c>
      <c r="D14" s="9">
        <v>8260100496</v>
      </c>
      <c r="E14" s="9">
        <v>8260100495</v>
      </c>
      <c r="F14" s="7">
        <v>8260100494</v>
      </c>
      <c r="G14" s="7"/>
      <c r="H14" s="7"/>
      <c r="I14" s="9" t="s">
        <v>2009</v>
      </c>
      <c r="J14" s="9" t="s">
        <v>2014</v>
      </c>
      <c r="K14" s="7">
        <v>8260100549</v>
      </c>
      <c r="L14" s="278"/>
      <c r="M14" s="278"/>
    </row>
    <row r="15" spans="1:13" ht="15" customHeight="1" x14ac:dyDescent="0.2">
      <c r="A15" s="276">
        <v>46171</v>
      </c>
      <c r="B15" s="53" t="s">
        <v>2107</v>
      </c>
      <c r="C15" s="53" t="s">
        <v>2108</v>
      </c>
      <c r="D15" s="53" t="s">
        <v>2108</v>
      </c>
      <c r="E15" s="53"/>
      <c r="F15" s="53"/>
      <c r="G15" s="53"/>
      <c r="H15" s="53"/>
      <c r="I15" s="74" t="s">
        <v>2106</v>
      </c>
      <c r="J15" s="74" t="s">
        <v>2109</v>
      </c>
      <c r="K15" s="74" t="s">
        <v>2109</v>
      </c>
      <c r="L15" s="278"/>
      <c r="M15" s="278"/>
    </row>
    <row r="16" spans="1:13" ht="69.95" customHeight="1" x14ac:dyDescent="0.2">
      <c r="A16" s="276"/>
      <c r="B16" s="9" t="s">
        <v>2105</v>
      </c>
      <c r="C16" s="9">
        <v>8260100557</v>
      </c>
      <c r="D16" s="9">
        <v>8260100555</v>
      </c>
      <c r="E16" s="9"/>
      <c r="F16" s="9"/>
      <c r="G16" s="9"/>
      <c r="H16" s="9"/>
      <c r="I16" s="7">
        <v>8260100621</v>
      </c>
      <c r="J16" s="9">
        <v>8260100620</v>
      </c>
      <c r="K16" s="7">
        <v>8260100619</v>
      </c>
      <c r="L16" s="278"/>
      <c r="M16" s="278"/>
    </row>
    <row r="17" spans="1:13" x14ac:dyDescent="0.2">
      <c r="A17" s="157" t="s">
        <v>1274</v>
      </c>
      <c r="B17" s="143">
        <v>4</v>
      </c>
      <c r="C17" s="143">
        <v>4</v>
      </c>
      <c r="D17" s="143">
        <v>4</v>
      </c>
      <c r="E17" s="143">
        <v>2</v>
      </c>
      <c r="F17" s="143">
        <v>2</v>
      </c>
      <c r="G17" s="143">
        <v>1</v>
      </c>
      <c r="H17" s="143">
        <v>0</v>
      </c>
      <c r="I17" s="3">
        <v>4</v>
      </c>
      <c r="J17" s="3">
        <v>4</v>
      </c>
      <c r="K17" s="3">
        <v>4</v>
      </c>
      <c r="L17" s="149">
        <f>SUM(B17:K17)</f>
        <v>29</v>
      </c>
      <c r="M17" s="144"/>
    </row>
    <row r="18" spans="1:13" x14ac:dyDescent="0.2">
      <c r="A18" s="157" t="s">
        <v>1275</v>
      </c>
      <c r="B18" s="143">
        <v>3</v>
      </c>
      <c r="C18" s="143">
        <v>2</v>
      </c>
      <c r="D18" s="143">
        <v>2</v>
      </c>
      <c r="E18" s="143">
        <v>2</v>
      </c>
      <c r="F18" s="143">
        <v>2</v>
      </c>
      <c r="G18" s="143">
        <v>1</v>
      </c>
      <c r="H18" s="143">
        <v>0</v>
      </c>
      <c r="I18" s="3">
        <v>4</v>
      </c>
      <c r="J18" s="3">
        <v>4</v>
      </c>
      <c r="K18" s="3">
        <v>4</v>
      </c>
      <c r="L18" s="149">
        <f>SUM(B18:K18)</f>
        <v>24</v>
      </c>
      <c r="M18" s="144"/>
    </row>
    <row r="19" spans="1:13" x14ac:dyDescent="0.2">
      <c r="A19" s="158" t="s">
        <v>1276</v>
      </c>
      <c r="B19" s="148">
        <v>1</v>
      </c>
      <c r="C19" s="148">
        <v>2</v>
      </c>
      <c r="D19" s="148">
        <v>2</v>
      </c>
      <c r="E19" s="148">
        <v>0</v>
      </c>
      <c r="F19" s="148">
        <v>0</v>
      </c>
      <c r="G19" s="148">
        <v>0</v>
      </c>
      <c r="H19" s="148">
        <v>0</v>
      </c>
      <c r="I19" s="147">
        <v>0</v>
      </c>
      <c r="J19" s="147">
        <v>0</v>
      </c>
      <c r="K19" s="147">
        <v>0</v>
      </c>
      <c r="L19" s="150">
        <f>SUM(B19:K19)</f>
        <v>5</v>
      </c>
    </row>
    <row r="20" spans="1:13" x14ac:dyDescent="0.2">
      <c r="C20" s="2"/>
      <c r="D20" s="2"/>
      <c r="E20" s="2"/>
      <c r="F20" s="2"/>
      <c r="G20" s="2"/>
      <c r="H20" s="2"/>
    </row>
    <row r="21" spans="1:13" ht="15" customHeight="1" x14ac:dyDescent="0.2">
      <c r="A21" s="280" t="s">
        <v>34</v>
      </c>
      <c r="B21" s="286" t="s">
        <v>379</v>
      </c>
      <c r="C21" s="286" t="s">
        <v>83</v>
      </c>
      <c r="D21" s="286" t="s">
        <v>84</v>
      </c>
      <c r="E21" s="287" t="s">
        <v>8</v>
      </c>
      <c r="F21" s="287"/>
      <c r="G21" s="287"/>
      <c r="H21" s="288"/>
    </row>
    <row r="22" spans="1:13" x14ac:dyDescent="0.2">
      <c r="A22" s="280"/>
      <c r="B22" s="286"/>
      <c r="C22" s="286"/>
      <c r="D22" s="286"/>
      <c r="E22" s="289"/>
      <c r="F22" s="289"/>
      <c r="G22" s="289"/>
      <c r="H22" s="290"/>
    </row>
    <row r="23" spans="1:13" x14ac:dyDescent="0.2">
      <c r="A23" s="280"/>
      <c r="B23" s="14" t="s">
        <v>380</v>
      </c>
      <c r="C23" s="15" t="s">
        <v>381</v>
      </c>
      <c r="D23" s="15" t="s">
        <v>382</v>
      </c>
      <c r="E23" s="130"/>
      <c r="F23" s="130"/>
      <c r="G23" s="130"/>
      <c r="H23" s="131"/>
    </row>
    <row r="24" spans="1:13" s="6" customFormat="1" x14ac:dyDescent="0.2">
      <c r="A24" s="379">
        <v>46167</v>
      </c>
      <c r="B24" s="115" t="s">
        <v>1976</v>
      </c>
      <c r="C24" s="53"/>
      <c r="D24" s="53"/>
      <c r="E24" s="392" t="s">
        <v>2002</v>
      </c>
      <c r="F24" s="393"/>
      <c r="G24" s="393"/>
      <c r="H24" s="394"/>
    </row>
    <row r="25" spans="1:13" s="6" customFormat="1" ht="148.5" x14ac:dyDescent="0.2">
      <c r="A25" s="379"/>
      <c r="B25" s="9" t="s">
        <v>1961</v>
      </c>
      <c r="C25" s="9"/>
      <c r="D25" s="7"/>
      <c r="E25" s="395"/>
      <c r="F25" s="396"/>
      <c r="G25" s="396"/>
      <c r="H25" s="397"/>
      <c r="J25" s="110"/>
      <c r="K25" s="110"/>
    </row>
    <row r="26" spans="1:13" s="6" customFormat="1" x14ac:dyDescent="0.2">
      <c r="A26" s="276">
        <v>46168</v>
      </c>
      <c r="B26" s="51" t="s">
        <v>2000</v>
      </c>
      <c r="C26" s="11"/>
      <c r="D26" s="11"/>
      <c r="E26" s="301" t="s">
        <v>2003</v>
      </c>
      <c r="F26" s="302"/>
      <c r="G26" s="302"/>
      <c r="H26" s="303"/>
    </row>
    <row r="27" spans="1:13" s="6" customFormat="1" ht="69.95" customHeight="1" x14ac:dyDescent="0.2">
      <c r="A27" s="276"/>
      <c r="B27" s="9" t="s">
        <v>1977</v>
      </c>
      <c r="C27" s="7"/>
      <c r="D27" s="7"/>
      <c r="E27" s="307"/>
      <c r="F27" s="308"/>
      <c r="G27" s="308"/>
      <c r="H27" s="309"/>
    </row>
    <row r="28" spans="1:13" s="6" customFormat="1" x14ac:dyDescent="0.2">
      <c r="A28" s="276">
        <v>46169</v>
      </c>
      <c r="B28" s="53"/>
      <c r="C28" s="11"/>
      <c r="D28" s="11"/>
      <c r="E28" s="310" t="s">
        <v>2001</v>
      </c>
      <c r="F28" s="311"/>
      <c r="G28" s="311"/>
      <c r="H28" s="312"/>
    </row>
    <row r="29" spans="1:13" s="6" customFormat="1" ht="80.099999999999994" customHeight="1" x14ac:dyDescent="0.2">
      <c r="A29" s="276"/>
      <c r="B29" s="9"/>
      <c r="C29" s="9"/>
      <c r="D29" s="7"/>
      <c r="E29" s="316"/>
      <c r="F29" s="317"/>
      <c r="G29" s="317"/>
      <c r="H29" s="318"/>
    </row>
    <row r="30" spans="1:13" s="6" customFormat="1" x14ac:dyDescent="0.2">
      <c r="A30" s="276">
        <v>46170</v>
      </c>
      <c r="B30" s="53" t="s">
        <v>2023</v>
      </c>
      <c r="C30" s="53" t="s">
        <v>2027</v>
      </c>
      <c r="D30" s="11"/>
      <c r="E30" s="398"/>
      <c r="F30" s="399"/>
      <c r="G30" s="399"/>
      <c r="H30" s="400"/>
    </row>
    <row r="31" spans="1:13" s="6" customFormat="1" ht="65.099999999999994" customHeight="1" x14ac:dyDescent="0.2">
      <c r="A31" s="276"/>
      <c r="B31" s="9" t="s">
        <v>2018</v>
      </c>
      <c r="C31" s="9" t="s">
        <v>2019</v>
      </c>
      <c r="D31" s="7"/>
      <c r="E31" s="401"/>
      <c r="F31" s="402"/>
      <c r="G31" s="402"/>
      <c r="H31" s="403"/>
    </row>
    <row r="32" spans="1:13" s="6" customFormat="1" x14ac:dyDescent="0.2">
      <c r="A32" s="276">
        <v>46171</v>
      </c>
      <c r="B32" s="74" t="s">
        <v>2114</v>
      </c>
      <c r="C32" s="53"/>
      <c r="D32" s="53"/>
      <c r="E32" s="124"/>
      <c r="F32" s="124"/>
      <c r="G32" s="124"/>
      <c r="H32" s="127"/>
    </row>
    <row r="33" spans="1:13" s="6" customFormat="1" ht="121.5" x14ac:dyDescent="0.2">
      <c r="A33" s="276"/>
      <c r="B33" s="9" t="s">
        <v>2030</v>
      </c>
      <c r="C33" s="7"/>
      <c r="D33" s="7"/>
      <c r="E33" s="128"/>
      <c r="F33" s="128"/>
      <c r="G33" s="128"/>
      <c r="H33" s="129"/>
    </row>
    <row r="34" spans="1:13" s="6" customFormat="1" x14ac:dyDescent="0.2">
      <c r="A34" s="157" t="s">
        <v>1274</v>
      </c>
      <c r="B34" s="143">
        <v>4</v>
      </c>
      <c r="C34" s="3">
        <v>1</v>
      </c>
      <c r="D34" s="3"/>
      <c r="E34" s="149">
        <f>SUM(B34:D34)</f>
        <v>5</v>
      </c>
      <c r="F34" s="108"/>
      <c r="G34" s="108"/>
      <c r="H34" s="108"/>
    </row>
    <row r="35" spans="1:13" s="6" customFormat="1" x14ac:dyDescent="0.2">
      <c r="A35" s="157" t="s">
        <v>1275</v>
      </c>
      <c r="B35" s="143">
        <v>2</v>
      </c>
      <c r="C35" s="3">
        <v>1</v>
      </c>
      <c r="D35" s="3"/>
      <c r="E35" s="149">
        <f>SUM(B35:D35)</f>
        <v>3</v>
      </c>
      <c r="F35" s="108"/>
      <c r="G35" s="108"/>
      <c r="H35" s="108"/>
    </row>
    <row r="36" spans="1:13" s="6" customFormat="1" x14ac:dyDescent="0.2">
      <c r="A36" s="158" t="s">
        <v>1276</v>
      </c>
      <c r="B36" s="146">
        <v>2</v>
      </c>
      <c r="C36" s="147">
        <v>0</v>
      </c>
      <c r="D36" s="3"/>
      <c r="E36" s="150">
        <f>SUM(B36:D36)</f>
        <v>2</v>
      </c>
      <c r="F36" s="108"/>
      <c r="G36" s="108"/>
      <c r="H36" s="108"/>
    </row>
    <row r="37" spans="1:13" x14ac:dyDescent="0.2">
      <c r="C37" s="2"/>
      <c r="D37" s="2"/>
      <c r="E37" s="2"/>
      <c r="F37" s="2"/>
      <c r="G37" s="2"/>
      <c r="H37" s="2"/>
    </row>
    <row r="38" spans="1:13" x14ac:dyDescent="0.2">
      <c r="A38" s="279" t="s">
        <v>96</v>
      </c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38"/>
      <c r="M38" s="38"/>
    </row>
    <row r="39" spans="1:13" ht="28.9" customHeight="1" x14ac:dyDescent="0.2">
      <c r="A39" s="280" t="s">
        <v>34</v>
      </c>
      <c r="B39" s="4" t="s">
        <v>97</v>
      </c>
      <c r="C39" s="5" t="s">
        <v>98</v>
      </c>
      <c r="D39" s="5" t="s">
        <v>99</v>
      </c>
      <c r="E39" s="5" t="s">
        <v>100</v>
      </c>
      <c r="F39" s="5" t="s">
        <v>101</v>
      </c>
      <c r="G39" s="5" t="s">
        <v>2126</v>
      </c>
      <c r="H39" s="5"/>
      <c r="I39" s="291" t="s">
        <v>8</v>
      </c>
      <c r="J39" s="291"/>
      <c r="K39" s="291"/>
    </row>
    <row r="40" spans="1:13" x14ac:dyDescent="0.2">
      <c r="A40" s="280"/>
      <c r="B40" s="14" t="s">
        <v>103</v>
      </c>
      <c r="C40" s="15" t="s">
        <v>104</v>
      </c>
      <c r="D40" s="15" t="s">
        <v>42</v>
      </c>
      <c r="E40" s="15" t="s">
        <v>105</v>
      </c>
      <c r="F40" s="15" t="s">
        <v>106</v>
      </c>
      <c r="G40" s="15" t="s">
        <v>107</v>
      </c>
      <c r="H40" s="15"/>
      <c r="I40" s="291"/>
      <c r="J40" s="291"/>
      <c r="K40" s="291"/>
    </row>
    <row r="41" spans="1:13" x14ac:dyDescent="0.2">
      <c r="A41" s="379">
        <v>46167</v>
      </c>
      <c r="B41" s="61"/>
      <c r="C41" s="61"/>
      <c r="D41" s="61"/>
      <c r="E41" s="61"/>
      <c r="F41" s="61"/>
      <c r="G41" s="61"/>
      <c r="H41" s="61"/>
      <c r="I41" s="278" t="s">
        <v>2116</v>
      </c>
      <c r="J41" s="278"/>
      <c r="K41" s="278"/>
    </row>
    <row r="42" spans="1:13" ht="45" customHeight="1" x14ac:dyDescent="0.2">
      <c r="A42" s="379"/>
      <c r="B42" s="9"/>
      <c r="C42" s="121"/>
      <c r="D42" s="9"/>
      <c r="E42" s="9"/>
      <c r="F42" s="9"/>
      <c r="G42" s="9"/>
      <c r="H42" s="9"/>
      <c r="I42" s="278"/>
      <c r="J42" s="278"/>
      <c r="K42" s="278"/>
    </row>
    <row r="43" spans="1:13" x14ac:dyDescent="0.2">
      <c r="A43" s="276">
        <v>46168</v>
      </c>
      <c r="B43" s="61" t="s">
        <v>2117</v>
      </c>
      <c r="C43" s="61" t="s">
        <v>1088</v>
      </c>
      <c r="D43" s="61" t="s">
        <v>2033</v>
      </c>
      <c r="E43" s="61" t="s">
        <v>2031</v>
      </c>
      <c r="F43" s="61" t="s">
        <v>2081</v>
      </c>
      <c r="G43" s="61" t="s">
        <v>2032</v>
      </c>
      <c r="H43" s="61"/>
      <c r="I43" s="319" t="s">
        <v>2119</v>
      </c>
      <c r="J43" s="319"/>
      <c r="K43" s="319"/>
    </row>
    <row r="44" spans="1:13" ht="45" customHeight="1" x14ac:dyDescent="0.2">
      <c r="A44" s="276"/>
      <c r="B44" s="9">
        <v>8260100464</v>
      </c>
      <c r="C44" s="9" t="s">
        <v>2123</v>
      </c>
      <c r="D44" s="9">
        <v>8260100450</v>
      </c>
      <c r="E44" s="9">
        <v>8260100445</v>
      </c>
      <c r="F44" s="9" t="s">
        <v>2082</v>
      </c>
      <c r="G44" s="9">
        <v>8260100452</v>
      </c>
      <c r="H44" s="9"/>
      <c r="I44" s="319"/>
      <c r="J44" s="319"/>
      <c r="K44" s="319"/>
    </row>
    <row r="45" spans="1:13" x14ac:dyDescent="0.2">
      <c r="A45" s="276">
        <v>46169</v>
      </c>
      <c r="B45" s="61"/>
      <c r="C45" s="61"/>
      <c r="D45" s="61"/>
      <c r="E45" s="61"/>
      <c r="F45" s="61"/>
      <c r="G45" s="61"/>
      <c r="H45" s="61"/>
      <c r="I45" s="278" t="s">
        <v>2001</v>
      </c>
      <c r="J45" s="278"/>
      <c r="K45" s="278"/>
    </row>
    <row r="46" spans="1:13" ht="45" customHeight="1" x14ac:dyDescent="0.2">
      <c r="A46" s="276"/>
      <c r="B46" s="9"/>
      <c r="C46" s="9"/>
      <c r="D46" s="9"/>
      <c r="E46" s="9"/>
      <c r="F46" s="9"/>
      <c r="G46" s="9"/>
      <c r="H46" s="9"/>
      <c r="I46" s="278"/>
      <c r="J46" s="278"/>
      <c r="K46" s="278"/>
    </row>
    <row r="47" spans="1:13" ht="15" customHeight="1" x14ac:dyDescent="0.2">
      <c r="A47" s="276">
        <v>46170</v>
      </c>
      <c r="B47" s="61" t="s">
        <v>2118</v>
      </c>
      <c r="C47" s="61" t="s">
        <v>2120</v>
      </c>
      <c r="D47" s="61" t="s">
        <v>2049</v>
      </c>
      <c r="E47" s="61" t="s">
        <v>2124</v>
      </c>
      <c r="F47" s="61" t="s">
        <v>1095</v>
      </c>
      <c r="G47" s="61" t="s">
        <v>2078</v>
      </c>
      <c r="H47" s="61"/>
      <c r="I47" s="278"/>
      <c r="J47" s="278"/>
      <c r="K47" s="278"/>
    </row>
    <row r="48" spans="1:13" ht="45" customHeight="1" x14ac:dyDescent="0.2">
      <c r="A48" s="276"/>
      <c r="B48" s="9">
        <v>8260100541</v>
      </c>
      <c r="C48" s="9" t="s">
        <v>2084</v>
      </c>
      <c r="D48" s="9">
        <v>8260100531</v>
      </c>
      <c r="E48" s="9">
        <v>8260100538</v>
      </c>
      <c r="F48" s="9" t="s">
        <v>2080</v>
      </c>
      <c r="G48" s="9">
        <v>8260100513</v>
      </c>
      <c r="H48" s="9"/>
      <c r="I48" s="278"/>
      <c r="J48" s="278"/>
      <c r="K48" s="278"/>
    </row>
    <row r="49" spans="1:16" x14ac:dyDescent="0.2">
      <c r="A49" s="276">
        <v>46171</v>
      </c>
      <c r="B49" s="17" t="s">
        <v>2083</v>
      </c>
      <c r="C49" s="17" t="s">
        <v>2121</v>
      </c>
      <c r="D49" s="61" t="s">
        <v>2079</v>
      </c>
      <c r="E49" s="61" t="s">
        <v>2077</v>
      </c>
      <c r="F49" s="61" t="s">
        <v>2085</v>
      </c>
      <c r="G49" s="61" t="s">
        <v>2078</v>
      </c>
      <c r="H49" s="61"/>
      <c r="I49" s="319" t="s">
        <v>2266</v>
      </c>
      <c r="J49" s="319"/>
      <c r="K49" s="319"/>
    </row>
    <row r="50" spans="1:16" s="6" customFormat="1" ht="45" customHeight="1" x14ac:dyDescent="0.2">
      <c r="A50" s="276"/>
      <c r="B50" s="9">
        <v>8260100590</v>
      </c>
      <c r="C50" s="9" t="s">
        <v>2122</v>
      </c>
      <c r="D50" s="9">
        <v>8260100599</v>
      </c>
      <c r="E50" s="9">
        <v>8260100615</v>
      </c>
      <c r="F50" s="9" t="s">
        <v>2125</v>
      </c>
      <c r="G50" s="9">
        <v>8260100582</v>
      </c>
      <c r="H50" s="9"/>
      <c r="I50" s="319"/>
      <c r="J50" s="319"/>
      <c r="K50" s="319"/>
    </row>
    <row r="51" spans="1:16" s="6" customFormat="1" x14ac:dyDescent="0.2">
      <c r="A51" s="157" t="s">
        <v>1274</v>
      </c>
      <c r="B51" s="143">
        <v>3</v>
      </c>
      <c r="C51" s="143">
        <v>3</v>
      </c>
      <c r="D51" s="143">
        <v>3</v>
      </c>
      <c r="E51" s="143">
        <v>3</v>
      </c>
      <c r="F51" s="143">
        <v>3</v>
      </c>
      <c r="G51" s="143">
        <v>3</v>
      </c>
      <c r="H51" s="143"/>
      <c r="I51" s="113">
        <f>SUM(B51:H51)</f>
        <v>18</v>
      </c>
      <c r="J51" s="145"/>
      <c r="K51" s="145"/>
    </row>
    <row r="52" spans="1:16" s="6" customFormat="1" x14ac:dyDescent="0.2">
      <c r="A52" s="157" t="s">
        <v>1275</v>
      </c>
      <c r="B52" s="143">
        <v>2</v>
      </c>
      <c r="C52" s="143">
        <v>2</v>
      </c>
      <c r="D52" s="143">
        <v>3</v>
      </c>
      <c r="E52" s="143">
        <v>3</v>
      </c>
      <c r="F52" s="143">
        <v>3</v>
      </c>
      <c r="G52" s="143">
        <v>3</v>
      </c>
      <c r="H52" s="143"/>
      <c r="I52" s="113">
        <f>SUM(B52:H52)</f>
        <v>16</v>
      </c>
      <c r="J52" s="145"/>
      <c r="K52" s="145"/>
    </row>
    <row r="53" spans="1:16" s="6" customFormat="1" x14ac:dyDescent="0.2">
      <c r="A53" s="158" t="s">
        <v>1276</v>
      </c>
      <c r="B53" s="146">
        <v>1</v>
      </c>
      <c r="C53" s="146">
        <v>1</v>
      </c>
      <c r="D53" s="146">
        <v>0</v>
      </c>
      <c r="E53" s="146">
        <v>0</v>
      </c>
      <c r="F53" s="146">
        <v>0</v>
      </c>
      <c r="G53" s="146">
        <v>0</v>
      </c>
      <c r="H53" s="146"/>
      <c r="I53" s="151">
        <f>SUM(B53:H53)</f>
        <v>2</v>
      </c>
      <c r="J53" s="145"/>
      <c r="K53" s="145"/>
    </row>
    <row r="54" spans="1:16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6" x14ac:dyDescent="0.2">
      <c r="A55" s="279" t="s">
        <v>143</v>
      </c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38"/>
      <c r="O55" s="38"/>
      <c r="P55" s="38"/>
    </row>
    <row r="56" spans="1:16" ht="43.15" customHeight="1" x14ac:dyDescent="0.2">
      <c r="A56" s="280" t="s">
        <v>34</v>
      </c>
      <c r="B56" s="5" t="s">
        <v>144</v>
      </c>
      <c r="C56" s="5" t="s">
        <v>145</v>
      </c>
      <c r="D56" s="5" t="s">
        <v>146</v>
      </c>
      <c r="E56" s="5" t="s">
        <v>662</v>
      </c>
      <c r="F56" s="5" t="s">
        <v>148</v>
      </c>
      <c r="G56" s="5" t="s">
        <v>149</v>
      </c>
      <c r="H56" s="5" t="s">
        <v>150</v>
      </c>
      <c r="I56" s="5" t="s">
        <v>151</v>
      </c>
      <c r="J56" s="5" t="s">
        <v>152</v>
      </c>
      <c r="K56" s="5" t="s">
        <v>663</v>
      </c>
      <c r="L56" s="5"/>
      <c r="M56" s="282" t="s">
        <v>8</v>
      </c>
    </row>
    <row r="57" spans="1:16" x14ac:dyDescent="0.2">
      <c r="A57" s="280"/>
      <c r="B57" s="15" t="s">
        <v>153</v>
      </c>
      <c r="C57" s="15" t="s">
        <v>153</v>
      </c>
      <c r="D57" s="15" t="s">
        <v>154</v>
      </c>
      <c r="E57" s="15" t="s">
        <v>155</v>
      </c>
      <c r="F57" s="15" t="s">
        <v>156</v>
      </c>
      <c r="G57" s="15" t="s">
        <v>156</v>
      </c>
      <c r="H57" s="15" t="s">
        <v>45</v>
      </c>
      <c r="I57" s="15" t="s">
        <v>157</v>
      </c>
      <c r="J57" s="15" t="s">
        <v>157</v>
      </c>
      <c r="K57" s="15" t="s">
        <v>106</v>
      </c>
      <c r="L57" s="15"/>
      <c r="M57" s="282"/>
    </row>
    <row r="58" spans="1:16" x14ac:dyDescent="0.2">
      <c r="A58" s="379">
        <v>46167</v>
      </c>
      <c r="B58" s="61"/>
      <c r="C58" s="61"/>
      <c r="D58" s="61"/>
      <c r="E58" s="61"/>
      <c r="F58" s="61"/>
      <c r="G58" s="61"/>
      <c r="H58" s="61"/>
      <c r="I58" s="61"/>
      <c r="J58" s="53"/>
      <c r="K58" s="66"/>
      <c r="L58" s="66"/>
      <c r="M58" s="323" t="s">
        <v>2116</v>
      </c>
    </row>
    <row r="59" spans="1:16" ht="45" customHeight="1" x14ac:dyDescent="0.2">
      <c r="A59" s="379"/>
      <c r="B59" s="9"/>
      <c r="C59" s="9"/>
      <c r="D59" s="9"/>
      <c r="E59" s="9"/>
      <c r="F59" s="9"/>
      <c r="G59" s="9"/>
      <c r="H59" s="9"/>
      <c r="I59" s="9"/>
      <c r="J59" s="7"/>
      <c r="K59" s="9"/>
      <c r="L59" s="9"/>
      <c r="M59" s="325"/>
    </row>
    <row r="60" spans="1:16" x14ac:dyDescent="0.2">
      <c r="A60" s="276">
        <v>46168</v>
      </c>
      <c r="B60" s="61" t="s">
        <v>2034</v>
      </c>
      <c r="C60" s="61" t="s">
        <v>2035</v>
      </c>
      <c r="D60" s="61" t="s">
        <v>1157</v>
      </c>
      <c r="E60" s="61" t="s">
        <v>2036</v>
      </c>
      <c r="F60" s="61" t="s">
        <v>2037</v>
      </c>
      <c r="G60" s="61" t="s">
        <v>2038</v>
      </c>
      <c r="H60" s="61" t="s">
        <v>2039</v>
      </c>
      <c r="I60" s="61"/>
      <c r="J60" s="53" t="s">
        <v>2040</v>
      </c>
      <c r="K60" s="66" t="s">
        <v>2041</v>
      </c>
      <c r="L60" s="66"/>
      <c r="M60" s="323" t="s">
        <v>2119</v>
      </c>
    </row>
    <row r="61" spans="1:16" ht="45" customHeight="1" x14ac:dyDescent="0.2">
      <c r="A61" s="276"/>
      <c r="B61" s="9">
        <v>8260100432</v>
      </c>
      <c r="C61" s="9" t="s">
        <v>1981</v>
      </c>
      <c r="D61" s="9">
        <v>8260100449</v>
      </c>
      <c r="E61" s="9">
        <v>8260100462</v>
      </c>
      <c r="F61" s="9">
        <v>8260100443</v>
      </c>
      <c r="G61" s="9">
        <v>8260100468</v>
      </c>
      <c r="H61" s="9">
        <v>8260100444</v>
      </c>
      <c r="I61" s="9"/>
      <c r="J61" s="7">
        <v>8260100431</v>
      </c>
      <c r="K61" s="9">
        <v>8260100433</v>
      </c>
      <c r="L61" s="9"/>
      <c r="M61" s="325"/>
    </row>
    <row r="62" spans="1:16" x14ac:dyDescent="0.2">
      <c r="A62" s="276">
        <v>46169</v>
      </c>
      <c r="B62" s="61"/>
      <c r="C62" s="61"/>
      <c r="D62" s="61"/>
      <c r="E62" s="61"/>
      <c r="F62" s="61"/>
      <c r="G62" s="61"/>
      <c r="H62" s="61"/>
      <c r="I62" s="61"/>
      <c r="J62" s="53"/>
      <c r="K62" s="66"/>
      <c r="L62" s="66"/>
      <c r="M62" s="404" t="s">
        <v>2001</v>
      </c>
    </row>
    <row r="63" spans="1:16" ht="45" customHeight="1" x14ac:dyDescent="0.2">
      <c r="A63" s="276"/>
      <c r="B63" s="9"/>
      <c r="C63" s="9"/>
      <c r="D63" s="9"/>
      <c r="E63" s="9"/>
      <c r="F63" s="9"/>
      <c r="G63" s="9"/>
      <c r="H63" s="9"/>
      <c r="I63" s="9"/>
      <c r="J63" s="7"/>
      <c r="K63" s="9"/>
      <c r="L63" s="9"/>
      <c r="M63" s="405"/>
    </row>
    <row r="64" spans="1:16" x14ac:dyDescent="0.2">
      <c r="A64" s="276">
        <v>46170</v>
      </c>
      <c r="B64" s="61" t="s">
        <v>2051</v>
      </c>
      <c r="C64" s="61" t="s">
        <v>2052</v>
      </c>
      <c r="D64" s="61" t="s">
        <v>2053</v>
      </c>
      <c r="E64" s="61" t="s">
        <v>2054</v>
      </c>
      <c r="F64" s="61" t="s">
        <v>2055</v>
      </c>
      <c r="G64" s="61" t="s">
        <v>1128</v>
      </c>
      <c r="H64" s="61" t="s">
        <v>2056</v>
      </c>
      <c r="I64" s="61"/>
      <c r="J64" s="53"/>
      <c r="K64" s="61" t="s">
        <v>2057</v>
      </c>
      <c r="L64" s="61"/>
      <c r="M64" s="323"/>
    </row>
    <row r="65" spans="1:13" ht="45" customHeight="1" x14ac:dyDescent="0.2">
      <c r="A65" s="276"/>
      <c r="B65" s="121">
        <v>8260100528</v>
      </c>
      <c r="C65" s="9" t="s">
        <v>2006</v>
      </c>
      <c r="D65" s="9">
        <v>8260100514</v>
      </c>
      <c r="E65" s="9">
        <v>8260100512</v>
      </c>
      <c r="F65" s="9">
        <v>8260100525</v>
      </c>
      <c r="G65" s="9">
        <v>8260100519</v>
      </c>
      <c r="H65" s="9">
        <v>8260100534</v>
      </c>
      <c r="I65" s="9"/>
      <c r="J65" s="7"/>
      <c r="K65" s="9">
        <v>8260100511</v>
      </c>
      <c r="L65" s="9"/>
      <c r="M65" s="325"/>
    </row>
    <row r="66" spans="1:13" x14ac:dyDescent="0.2">
      <c r="A66" s="276">
        <v>46171</v>
      </c>
      <c r="B66" s="61" t="s">
        <v>2063</v>
      </c>
      <c r="C66" s="61" t="s">
        <v>2064</v>
      </c>
      <c r="D66" s="61" t="s">
        <v>2065</v>
      </c>
      <c r="E66" s="61" t="s">
        <v>2066</v>
      </c>
      <c r="F66" s="61" t="s">
        <v>2067</v>
      </c>
      <c r="G66" s="61" t="s">
        <v>2068</v>
      </c>
      <c r="H66" s="61" t="s">
        <v>2069</v>
      </c>
      <c r="I66" s="61" t="s">
        <v>1171</v>
      </c>
      <c r="J66" s="53" t="s">
        <v>1171</v>
      </c>
      <c r="K66" s="66"/>
      <c r="L66" s="66"/>
      <c r="M66" s="323"/>
    </row>
    <row r="67" spans="1:13" ht="45" customHeight="1" x14ac:dyDescent="0.2">
      <c r="A67" s="276"/>
      <c r="B67" s="9">
        <v>8260100587</v>
      </c>
      <c r="C67" s="9" t="s">
        <v>2028</v>
      </c>
      <c r="D67" s="9">
        <v>8260100581</v>
      </c>
      <c r="E67" s="9">
        <v>8260100608</v>
      </c>
      <c r="F67" s="9">
        <v>8260100609</v>
      </c>
      <c r="G67" s="9">
        <v>8260100602</v>
      </c>
      <c r="H67" s="9">
        <v>8260100593</v>
      </c>
      <c r="I67" s="9">
        <v>8260100591</v>
      </c>
      <c r="J67" s="7">
        <v>8260100579</v>
      </c>
      <c r="K67" s="9"/>
      <c r="L67" s="9"/>
      <c r="M67" s="325"/>
    </row>
    <row r="68" spans="1:13" x14ac:dyDescent="0.2">
      <c r="A68" s="157" t="s">
        <v>1274</v>
      </c>
      <c r="B68" s="143">
        <v>3</v>
      </c>
      <c r="C68" s="143">
        <v>3</v>
      </c>
      <c r="D68" s="143">
        <v>3</v>
      </c>
      <c r="E68" s="143">
        <v>3</v>
      </c>
      <c r="F68" s="143">
        <v>3</v>
      </c>
      <c r="G68" s="143">
        <v>3</v>
      </c>
      <c r="H68" s="143">
        <v>3</v>
      </c>
      <c r="I68" s="143">
        <v>1</v>
      </c>
      <c r="J68" s="143">
        <v>2</v>
      </c>
      <c r="K68" s="143">
        <v>2</v>
      </c>
      <c r="L68" s="143"/>
      <c r="M68" s="149">
        <f>SUM(B68:L68)</f>
        <v>26</v>
      </c>
    </row>
    <row r="69" spans="1:13" x14ac:dyDescent="0.2">
      <c r="A69" s="157" t="s">
        <v>1275</v>
      </c>
      <c r="B69" s="143">
        <v>3</v>
      </c>
      <c r="C69" s="143">
        <v>3</v>
      </c>
      <c r="D69" s="143">
        <v>3</v>
      </c>
      <c r="E69" s="143">
        <v>3</v>
      </c>
      <c r="F69" s="143">
        <v>3</v>
      </c>
      <c r="G69" s="143">
        <v>3</v>
      </c>
      <c r="H69" s="143">
        <v>3</v>
      </c>
      <c r="I69" s="143">
        <v>1</v>
      </c>
      <c r="J69" s="143">
        <v>2</v>
      </c>
      <c r="K69" s="143">
        <v>2</v>
      </c>
      <c r="L69" s="143"/>
      <c r="M69" s="149">
        <f>SUM(B69:L69)</f>
        <v>26</v>
      </c>
    </row>
    <row r="70" spans="1:13" x14ac:dyDescent="0.2">
      <c r="A70" s="158" t="s">
        <v>1276</v>
      </c>
      <c r="B70" s="146">
        <v>0</v>
      </c>
      <c r="C70" s="146">
        <v>0</v>
      </c>
      <c r="D70" s="146">
        <v>0</v>
      </c>
      <c r="E70" s="146">
        <v>0</v>
      </c>
      <c r="F70" s="146">
        <v>0</v>
      </c>
      <c r="G70" s="146">
        <v>0</v>
      </c>
      <c r="H70" s="146">
        <v>0</v>
      </c>
      <c r="I70" s="146">
        <v>0</v>
      </c>
      <c r="J70" s="146">
        <v>0</v>
      </c>
      <c r="K70" s="146">
        <v>0</v>
      </c>
      <c r="L70" s="146"/>
      <c r="M70" s="150">
        <f>SUM(B70:L70)</f>
        <v>0</v>
      </c>
    </row>
    <row r="72" spans="1:13" ht="28.9" customHeight="1" x14ac:dyDescent="0.2">
      <c r="A72" s="280" t="s">
        <v>34</v>
      </c>
      <c r="B72" s="5" t="s">
        <v>196</v>
      </c>
      <c r="C72" s="5" t="s">
        <v>472</v>
      </c>
      <c r="D72" s="5" t="s">
        <v>198</v>
      </c>
      <c r="E72" s="5" t="s">
        <v>199</v>
      </c>
      <c r="F72" s="5" t="s">
        <v>200</v>
      </c>
      <c r="G72" s="5" t="s">
        <v>201</v>
      </c>
      <c r="H72" s="5" t="s">
        <v>202</v>
      </c>
      <c r="I72" s="5" t="s">
        <v>203</v>
      </c>
      <c r="J72" s="5" t="s">
        <v>204</v>
      </c>
      <c r="K72" s="5" t="s">
        <v>1149</v>
      </c>
      <c r="L72" s="5"/>
      <c r="M72" s="104" t="s">
        <v>8</v>
      </c>
    </row>
    <row r="73" spans="1:13" x14ac:dyDescent="0.2">
      <c r="A73" s="280"/>
      <c r="B73" s="15" t="s">
        <v>153</v>
      </c>
      <c r="C73" s="15" t="s">
        <v>205</v>
      </c>
      <c r="D73" s="15" t="s">
        <v>206</v>
      </c>
      <c r="E73" s="15" t="s">
        <v>207</v>
      </c>
      <c r="F73" s="15" t="s">
        <v>208</v>
      </c>
      <c r="G73" s="15" t="s">
        <v>207</v>
      </c>
      <c r="H73" s="15" t="s">
        <v>103</v>
      </c>
      <c r="I73" s="15" t="s">
        <v>208</v>
      </c>
      <c r="J73" s="15" t="s">
        <v>209</v>
      </c>
      <c r="K73" s="15" t="s">
        <v>1150</v>
      </c>
      <c r="L73" s="15"/>
      <c r="M73" s="104"/>
    </row>
    <row r="74" spans="1:13" x14ac:dyDescent="0.2">
      <c r="A74" s="379">
        <v>46167</v>
      </c>
      <c r="B74" s="61"/>
      <c r="C74" s="61"/>
      <c r="D74" s="61"/>
      <c r="E74" s="61"/>
      <c r="F74" s="61"/>
      <c r="G74" s="61"/>
      <c r="H74" s="61"/>
      <c r="I74" s="61"/>
      <c r="J74" s="66"/>
      <c r="K74" s="66"/>
      <c r="L74" s="66"/>
      <c r="M74" s="103"/>
    </row>
    <row r="75" spans="1:13" ht="45" customHeight="1" x14ac:dyDescent="0.2">
      <c r="A75" s="37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3" t="s">
        <v>2116</v>
      </c>
    </row>
    <row r="76" spans="1:13" x14ac:dyDescent="0.2">
      <c r="A76" s="276">
        <v>46168</v>
      </c>
      <c r="B76" s="61" t="s">
        <v>2042</v>
      </c>
      <c r="C76" s="61" t="s">
        <v>1120</v>
      </c>
      <c r="D76" s="61" t="s">
        <v>2043</v>
      </c>
      <c r="E76" s="61" t="s">
        <v>2044</v>
      </c>
      <c r="F76" s="61" t="s">
        <v>2045</v>
      </c>
      <c r="G76" s="61" t="s">
        <v>2046</v>
      </c>
      <c r="H76" s="61" t="s">
        <v>2047</v>
      </c>
      <c r="I76" s="61" t="s">
        <v>2048</v>
      </c>
      <c r="J76" s="66"/>
      <c r="K76" s="66"/>
      <c r="L76" s="66"/>
      <c r="M76" s="111"/>
    </row>
    <row r="77" spans="1:13" ht="45" customHeight="1" x14ac:dyDescent="0.2">
      <c r="A77" s="276"/>
      <c r="B77" s="9">
        <v>8260100442</v>
      </c>
      <c r="C77" s="9">
        <v>8260100438</v>
      </c>
      <c r="D77" s="9">
        <v>8260100455</v>
      </c>
      <c r="E77" s="9">
        <v>8260100454</v>
      </c>
      <c r="F77" s="9">
        <v>8260100458</v>
      </c>
      <c r="G77" s="9">
        <v>8260100441</v>
      </c>
      <c r="H77" s="9">
        <v>8260100466</v>
      </c>
      <c r="I77" s="9" t="s">
        <v>1982</v>
      </c>
      <c r="J77" s="7"/>
      <c r="K77" s="9"/>
      <c r="L77" s="9"/>
      <c r="M77" s="111" t="s">
        <v>2119</v>
      </c>
    </row>
    <row r="78" spans="1:13" x14ac:dyDescent="0.2">
      <c r="A78" s="276">
        <v>46169</v>
      </c>
      <c r="B78" s="61"/>
      <c r="C78" s="61"/>
      <c r="D78" s="61"/>
      <c r="E78" s="61"/>
      <c r="F78" s="61"/>
      <c r="G78" s="61"/>
      <c r="H78" s="61"/>
      <c r="I78" s="61"/>
      <c r="J78" s="53"/>
      <c r="K78" s="66"/>
      <c r="L78" s="66"/>
      <c r="M78" s="111"/>
    </row>
    <row r="79" spans="1:13" ht="45" customHeight="1" x14ac:dyDescent="0.2">
      <c r="A79" s="276"/>
      <c r="B79" s="9"/>
      <c r="C79" s="9"/>
      <c r="D79" s="9"/>
      <c r="E79" s="9"/>
      <c r="F79" s="9"/>
      <c r="G79" s="9"/>
      <c r="H79" s="9"/>
      <c r="I79" s="9"/>
      <c r="J79" s="7"/>
      <c r="K79" s="9"/>
      <c r="L79" s="9"/>
      <c r="M79" s="111" t="s">
        <v>2001</v>
      </c>
    </row>
    <row r="80" spans="1:13" x14ac:dyDescent="0.2">
      <c r="A80" s="276">
        <v>46170</v>
      </c>
      <c r="B80" s="61" t="s">
        <v>2056</v>
      </c>
      <c r="C80" s="61"/>
      <c r="D80" s="61" t="s">
        <v>2058</v>
      </c>
      <c r="E80" s="61" t="s">
        <v>2059</v>
      </c>
      <c r="F80" s="61" t="s">
        <v>2060</v>
      </c>
      <c r="G80" s="61" t="s">
        <v>2061</v>
      </c>
      <c r="H80" s="61" t="s">
        <v>2062</v>
      </c>
      <c r="I80" s="61" t="s">
        <v>2050</v>
      </c>
      <c r="J80" s="53"/>
      <c r="K80" s="16"/>
      <c r="L80" s="16"/>
      <c r="M80" s="111"/>
    </row>
    <row r="81" spans="1:15" ht="45" customHeight="1" x14ac:dyDescent="0.2">
      <c r="A81" s="276"/>
      <c r="B81" s="9">
        <v>8260100530</v>
      </c>
      <c r="C81" s="9"/>
      <c r="D81" s="9">
        <v>8260100537</v>
      </c>
      <c r="E81" s="9">
        <v>8260100516</v>
      </c>
      <c r="F81" s="9">
        <v>8260100536</v>
      </c>
      <c r="G81" s="9">
        <v>8260100520</v>
      </c>
      <c r="H81" s="9">
        <v>8260100535</v>
      </c>
      <c r="I81" s="9" t="s">
        <v>2007</v>
      </c>
      <c r="J81" s="7"/>
      <c r="K81" s="9"/>
      <c r="L81" s="9"/>
      <c r="M81" s="111"/>
    </row>
    <row r="82" spans="1:15" x14ac:dyDescent="0.2">
      <c r="A82" s="276">
        <v>46171</v>
      </c>
      <c r="B82" s="61" t="s">
        <v>2070</v>
      </c>
      <c r="C82" s="61" t="s">
        <v>2071</v>
      </c>
      <c r="D82" s="61" t="s">
        <v>2072</v>
      </c>
      <c r="E82" s="61" t="s">
        <v>1134</v>
      </c>
      <c r="F82" s="61" t="s">
        <v>2073</v>
      </c>
      <c r="G82" s="61" t="s">
        <v>2074</v>
      </c>
      <c r="H82" s="61" t="s">
        <v>2075</v>
      </c>
      <c r="I82" s="61" t="s">
        <v>2076</v>
      </c>
      <c r="J82" s="53"/>
      <c r="K82" s="66"/>
      <c r="L82" s="66"/>
      <c r="M82" s="10"/>
    </row>
    <row r="83" spans="1:15" ht="45" customHeight="1" x14ac:dyDescent="0.2">
      <c r="A83" s="276"/>
      <c r="B83" s="9">
        <v>8260100603</v>
      </c>
      <c r="C83" s="9">
        <v>8260100596</v>
      </c>
      <c r="D83" s="9">
        <v>8260100600</v>
      </c>
      <c r="E83" s="9">
        <v>8260100612</v>
      </c>
      <c r="F83" s="9">
        <v>8260100595</v>
      </c>
      <c r="G83" s="9">
        <v>8260100613</v>
      </c>
      <c r="H83" s="9">
        <v>8260100616</v>
      </c>
      <c r="I83" s="9" t="s">
        <v>2029</v>
      </c>
      <c r="J83" s="7"/>
      <c r="K83" s="9"/>
      <c r="L83" s="9"/>
      <c r="M83" s="111"/>
    </row>
    <row r="84" spans="1:15" x14ac:dyDescent="0.2">
      <c r="A84" s="157" t="s">
        <v>1274</v>
      </c>
      <c r="B84" s="143">
        <v>3</v>
      </c>
      <c r="C84" s="143">
        <v>2</v>
      </c>
      <c r="D84" s="143">
        <v>3</v>
      </c>
      <c r="E84" s="143">
        <v>3</v>
      </c>
      <c r="F84" s="143">
        <v>3</v>
      </c>
      <c r="G84" s="143">
        <v>3</v>
      </c>
      <c r="H84" s="143">
        <v>3</v>
      </c>
      <c r="I84" s="143">
        <v>3</v>
      </c>
      <c r="J84" s="143">
        <v>0</v>
      </c>
      <c r="K84" s="143">
        <v>0</v>
      </c>
      <c r="L84" s="143"/>
      <c r="M84" s="113">
        <f>SUM(B84:L84)</f>
        <v>23</v>
      </c>
    </row>
    <row r="85" spans="1:15" x14ac:dyDescent="0.2">
      <c r="A85" s="157" t="s">
        <v>1275</v>
      </c>
      <c r="B85" s="143">
        <v>3</v>
      </c>
      <c r="C85" s="143">
        <v>2</v>
      </c>
      <c r="D85" s="143">
        <v>3</v>
      </c>
      <c r="E85" s="143">
        <v>3</v>
      </c>
      <c r="F85" s="143">
        <v>3</v>
      </c>
      <c r="G85" s="143">
        <v>3</v>
      </c>
      <c r="H85" s="143">
        <v>3</v>
      </c>
      <c r="I85" s="143">
        <v>3</v>
      </c>
      <c r="J85" s="143">
        <v>0</v>
      </c>
      <c r="K85" s="143">
        <v>0</v>
      </c>
      <c r="L85" s="143"/>
      <c r="M85" s="113">
        <f>SUM(B85:L85)</f>
        <v>23</v>
      </c>
    </row>
    <row r="86" spans="1:15" x14ac:dyDescent="0.2">
      <c r="A86" s="158" t="s">
        <v>1276</v>
      </c>
      <c r="B86" s="146">
        <v>0</v>
      </c>
      <c r="C86" s="146">
        <v>0</v>
      </c>
      <c r="D86" s="146">
        <v>0</v>
      </c>
      <c r="E86" s="146">
        <v>0</v>
      </c>
      <c r="F86" s="146">
        <v>0</v>
      </c>
      <c r="G86" s="146">
        <v>0</v>
      </c>
      <c r="H86" s="146">
        <v>0</v>
      </c>
      <c r="I86" s="146">
        <v>0</v>
      </c>
      <c r="J86" s="146">
        <v>0</v>
      </c>
      <c r="K86" s="146">
        <v>0</v>
      </c>
      <c r="L86" s="146"/>
      <c r="M86" s="151">
        <f>SUM(B86:L86)</f>
        <v>0</v>
      </c>
    </row>
    <row r="88" spans="1:15" x14ac:dyDescent="0.2">
      <c r="A88" s="279" t="s">
        <v>252</v>
      </c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38"/>
      <c r="O88" s="38"/>
    </row>
    <row r="89" spans="1:15" ht="27.75" x14ac:dyDescent="0.2">
      <c r="A89" s="329" t="s">
        <v>34</v>
      </c>
      <c r="B89" s="82" t="s">
        <v>253</v>
      </c>
      <c r="C89" s="82" t="s">
        <v>254</v>
      </c>
      <c r="D89" s="82" t="s">
        <v>255</v>
      </c>
      <c r="E89" s="82" t="s">
        <v>256</v>
      </c>
      <c r="F89" s="82" t="s">
        <v>257</v>
      </c>
      <c r="G89" s="82" t="s">
        <v>258</v>
      </c>
      <c r="H89" s="82" t="s">
        <v>259</v>
      </c>
      <c r="I89" s="82" t="s">
        <v>260</v>
      </c>
      <c r="J89" s="82"/>
      <c r="K89" s="330" t="s">
        <v>8</v>
      </c>
      <c r="L89" s="330"/>
      <c r="M89" s="330"/>
    </row>
    <row r="90" spans="1:15" x14ac:dyDescent="0.2">
      <c r="A90" s="280"/>
      <c r="B90" s="15" t="s">
        <v>154</v>
      </c>
      <c r="C90" s="15" t="s">
        <v>261</v>
      </c>
      <c r="D90" s="15" t="s">
        <v>262</v>
      </c>
      <c r="E90" s="15" t="s">
        <v>42</v>
      </c>
      <c r="F90" s="15" t="s">
        <v>263</v>
      </c>
      <c r="G90" s="15" t="s">
        <v>264</v>
      </c>
      <c r="H90" s="15" t="s">
        <v>265</v>
      </c>
      <c r="I90" s="15" t="s">
        <v>263</v>
      </c>
      <c r="J90" s="15"/>
      <c r="K90" s="282"/>
      <c r="L90" s="282"/>
      <c r="M90" s="282"/>
    </row>
    <row r="91" spans="1:15" x14ac:dyDescent="0.2">
      <c r="A91" s="379">
        <v>46167</v>
      </c>
      <c r="B91" s="61"/>
      <c r="C91" s="61"/>
      <c r="D91" s="61"/>
      <c r="E91" s="61"/>
      <c r="F91" s="61"/>
      <c r="G91" s="61"/>
      <c r="H91" s="61"/>
      <c r="I91" s="61"/>
      <c r="J91" s="61"/>
      <c r="K91" s="319" t="s">
        <v>2116</v>
      </c>
      <c r="L91" s="319"/>
      <c r="M91" s="319"/>
    </row>
    <row r="92" spans="1:15" ht="45" customHeight="1" x14ac:dyDescent="0.2">
      <c r="A92" s="379"/>
      <c r="B92" s="9"/>
      <c r="C92" s="9"/>
      <c r="D92" s="9"/>
      <c r="E92" s="9"/>
      <c r="F92" s="9"/>
      <c r="G92" s="9"/>
      <c r="H92" s="9"/>
      <c r="I92" s="9"/>
      <c r="J92" s="9"/>
      <c r="K92" s="319"/>
      <c r="L92" s="319"/>
      <c r="M92" s="319"/>
    </row>
    <row r="93" spans="1:15" x14ac:dyDescent="0.2">
      <c r="A93" s="276">
        <v>46168</v>
      </c>
      <c r="B93" s="61" t="s">
        <v>2086</v>
      </c>
      <c r="C93" s="61" t="s">
        <v>2090</v>
      </c>
      <c r="D93" s="61" t="s">
        <v>2092</v>
      </c>
      <c r="E93" s="61" t="s">
        <v>2087</v>
      </c>
      <c r="F93" s="61" t="s">
        <v>2089</v>
      </c>
      <c r="G93" s="61" t="s">
        <v>2091</v>
      </c>
      <c r="H93" s="61" t="s">
        <v>2093</v>
      </c>
      <c r="I93" s="61"/>
      <c r="J93" s="61"/>
      <c r="K93" s="319" t="s">
        <v>2119</v>
      </c>
      <c r="L93" s="319"/>
      <c r="M93" s="319"/>
    </row>
    <row r="94" spans="1:15" ht="45" customHeight="1" x14ac:dyDescent="0.2">
      <c r="A94" s="276"/>
      <c r="B94" s="9" t="s">
        <v>2088</v>
      </c>
      <c r="C94" s="9">
        <v>8260100463</v>
      </c>
      <c r="D94" s="9">
        <v>8260100451</v>
      </c>
      <c r="E94" s="9">
        <v>8260100447</v>
      </c>
      <c r="F94" s="9">
        <v>8260100460</v>
      </c>
      <c r="G94" s="9">
        <v>8260100448</v>
      </c>
      <c r="H94" s="9">
        <v>8260100465</v>
      </c>
      <c r="I94" s="9"/>
      <c r="J94" s="9"/>
      <c r="K94" s="319"/>
      <c r="L94" s="319"/>
      <c r="M94" s="319"/>
    </row>
    <row r="95" spans="1:15" x14ac:dyDescent="0.2">
      <c r="A95" s="276">
        <v>46169</v>
      </c>
      <c r="B95" s="61"/>
      <c r="C95" s="61"/>
      <c r="D95" s="61"/>
      <c r="E95" s="61"/>
      <c r="F95" s="61"/>
      <c r="G95" s="61"/>
      <c r="H95" s="61"/>
      <c r="I95" s="61"/>
      <c r="J95" s="61"/>
      <c r="K95" s="331"/>
      <c r="L95" s="331"/>
      <c r="M95" s="331"/>
    </row>
    <row r="96" spans="1:15" ht="45" customHeight="1" x14ac:dyDescent="0.2">
      <c r="A96" s="276"/>
      <c r="B96" s="9"/>
      <c r="C96" s="9"/>
      <c r="D96" s="9"/>
      <c r="E96" s="9"/>
      <c r="F96" s="9"/>
      <c r="G96" s="9"/>
      <c r="H96" s="9"/>
      <c r="I96" s="9"/>
      <c r="J96" s="9"/>
      <c r="K96" s="331"/>
      <c r="L96" s="331"/>
      <c r="M96" s="331"/>
    </row>
    <row r="97" spans="1:13" x14ac:dyDescent="0.2">
      <c r="A97" s="276">
        <v>46170</v>
      </c>
      <c r="B97" s="61" t="s">
        <v>2096</v>
      </c>
      <c r="C97" s="61" t="s">
        <v>2097</v>
      </c>
      <c r="D97" s="61" t="s">
        <v>2095</v>
      </c>
      <c r="E97" s="61" t="s">
        <v>2095</v>
      </c>
      <c r="F97" s="61" t="s">
        <v>2094</v>
      </c>
      <c r="G97" s="61" t="s">
        <v>2127</v>
      </c>
      <c r="H97" s="61" t="s">
        <v>2099</v>
      </c>
      <c r="I97" s="61"/>
      <c r="J97" s="61"/>
      <c r="K97" s="331"/>
      <c r="L97" s="331"/>
      <c r="M97" s="331"/>
    </row>
    <row r="98" spans="1:13" ht="45" customHeight="1" x14ac:dyDescent="0.2">
      <c r="A98" s="276"/>
      <c r="B98" s="9" t="s">
        <v>2098</v>
      </c>
      <c r="C98" s="9">
        <v>8260100539</v>
      </c>
      <c r="D98" s="9">
        <v>8260100524</v>
      </c>
      <c r="E98" s="9">
        <v>8260100529</v>
      </c>
      <c r="F98" s="9">
        <v>8260100518</v>
      </c>
      <c r="G98" s="9">
        <v>8260100517</v>
      </c>
      <c r="H98" s="9">
        <v>8260100543</v>
      </c>
      <c r="I98" s="9"/>
      <c r="J98" s="9"/>
      <c r="K98" s="331"/>
      <c r="L98" s="331"/>
      <c r="M98" s="331"/>
    </row>
    <row r="99" spans="1:13" x14ac:dyDescent="0.2">
      <c r="A99" s="276">
        <v>46171</v>
      </c>
      <c r="B99" s="61" t="s">
        <v>2066</v>
      </c>
      <c r="C99" s="61" t="s">
        <v>2104</v>
      </c>
      <c r="D99" s="61" t="s">
        <v>2101</v>
      </c>
      <c r="E99" s="61" t="s">
        <v>2101</v>
      </c>
      <c r="F99" s="61" t="s">
        <v>2102</v>
      </c>
      <c r="G99" s="61" t="s">
        <v>2100</v>
      </c>
      <c r="H99" s="61" t="s">
        <v>182</v>
      </c>
      <c r="I99" s="61"/>
      <c r="J99" s="61"/>
      <c r="K99" s="278" t="s">
        <v>2128</v>
      </c>
      <c r="L99" s="278"/>
      <c r="M99" s="278"/>
    </row>
    <row r="100" spans="1:13" ht="45" customHeight="1" x14ac:dyDescent="0.2">
      <c r="A100" s="276"/>
      <c r="B100" s="9" t="s">
        <v>2103</v>
      </c>
      <c r="C100" s="9">
        <v>8260100605</v>
      </c>
      <c r="D100" s="9">
        <v>8260100585</v>
      </c>
      <c r="E100" s="9">
        <v>8260100584</v>
      </c>
      <c r="F100" s="9">
        <v>8260100589</v>
      </c>
      <c r="G100" s="9">
        <v>8260100583</v>
      </c>
      <c r="H100" s="9">
        <v>8260100594</v>
      </c>
      <c r="I100" s="9"/>
      <c r="J100" s="9"/>
      <c r="K100" s="278"/>
      <c r="L100" s="278"/>
      <c r="M100" s="278"/>
    </row>
    <row r="101" spans="1:13" x14ac:dyDescent="0.2">
      <c r="A101" s="157" t="s">
        <v>1274</v>
      </c>
      <c r="B101" s="143">
        <v>3</v>
      </c>
      <c r="C101" s="143">
        <v>3</v>
      </c>
      <c r="D101" s="143">
        <v>3</v>
      </c>
      <c r="E101" s="143">
        <v>3</v>
      </c>
      <c r="F101" s="143">
        <v>3</v>
      </c>
      <c r="G101" s="143">
        <v>3</v>
      </c>
      <c r="H101" s="143">
        <v>3</v>
      </c>
      <c r="I101" s="143">
        <v>0</v>
      </c>
      <c r="J101" s="143"/>
      <c r="K101" s="92">
        <f>SUM(B101:J101)</f>
        <v>21</v>
      </c>
    </row>
    <row r="102" spans="1:13" x14ac:dyDescent="0.2">
      <c r="A102" s="157" t="s">
        <v>1275</v>
      </c>
      <c r="B102" s="143">
        <v>3</v>
      </c>
      <c r="C102" s="143">
        <v>3</v>
      </c>
      <c r="D102" s="143">
        <v>3</v>
      </c>
      <c r="E102" s="143">
        <v>3</v>
      </c>
      <c r="F102" s="143">
        <v>3</v>
      </c>
      <c r="G102" s="143">
        <v>3</v>
      </c>
      <c r="H102" s="143">
        <v>3</v>
      </c>
      <c r="I102" s="143">
        <v>0</v>
      </c>
      <c r="J102" s="143"/>
      <c r="K102" s="92">
        <f>SUM(B102:J102)</f>
        <v>21</v>
      </c>
    </row>
    <row r="103" spans="1:13" x14ac:dyDescent="0.2">
      <c r="A103" s="158" t="s">
        <v>1276</v>
      </c>
      <c r="B103" s="146">
        <v>0</v>
      </c>
      <c r="C103" s="146">
        <v>0</v>
      </c>
      <c r="D103" s="146">
        <v>0</v>
      </c>
      <c r="E103" s="146">
        <v>0</v>
      </c>
      <c r="F103" s="146">
        <v>0</v>
      </c>
      <c r="G103" s="146">
        <v>0</v>
      </c>
      <c r="H103" s="146">
        <v>0</v>
      </c>
      <c r="I103" s="146">
        <v>0</v>
      </c>
      <c r="J103" s="146"/>
      <c r="K103" s="152">
        <f>SUM(B103:J103)</f>
        <v>0</v>
      </c>
    </row>
  </sheetData>
  <mergeCells count="74">
    <mergeCell ref="A99:A100"/>
    <mergeCell ref="K99:M100"/>
    <mergeCell ref="A93:A94"/>
    <mergeCell ref="K93:M94"/>
    <mergeCell ref="A95:A96"/>
    <mergeCell ref="K95:M96"/>
    <mergeCell ref="A97:A98"/>
    <mergeCell ref="K97:M98"/>
    <mergeCell ref="A91:A92"/>
    <mergeCell ref="K91:M92"/>
    <mergeCell ref="A66:A67"/>
    <mergeCell ref="M66:M67"/>
    <mergeCell ref="A72:A73"/>
    <mergeCell ref="A74:A75"/>
    <mergeCell ref="A76:A77"/>
    <mergeCell ref="A78:A79"/>
    <mergeCell ref="A80:A81"/>
    <mergeCell ref="A82:A83"/>
    <mergeCell ref="A88:M88"/>
    <mergeCell ref="A89:A90"/>
    <mergeCell ref="K89:M90"/>
    <mergeCell ref="A60:A61"/>
    <mergeCell ref="M60:M61"/>
    <mergeCell ref="A62:A63"/>
    <mergeCell ref="M62:M63"/>
    <mergeCell ref="A64:A65"/>
    <mergeCell ref="M64:M65"/>
    <mergeCell ref="A58:A59"/>
    <mergeCell ref="M58:M59"/>
    <mergeCell ref="A43:A44"/>
    <mergeCell ref="I43:K44"/>
    <mergeCell ref="A45:A46"/>
    <mergeCell ref="I45:K46"/>
    <mergeCell ref="A47:A48"/>
    <mergeCell ref="I47:K48"/>
    <mergeCell ref="A49:A50"/>
    <mergeCell ref="I49:K50"/>
    <mergeCell ref="A55:M55"/>
    <mergeCell ref="A56:A57"/>
    <mergeCell ref="M56:M57"/>
    <mergeCell ref="A32:A33"/>
    <mergeCell ref="A38:K38"/>
    <mergeCell ref="A39:A40"/>
    <mergeCell ref="I39:K40"/>
    <mergeCell ref="A41:A42"/>
    <mergeCell ref="I41:K42"/>
    <mergeCell ref="A24:A25"/>
    <mergeCell ref="A26:A27"/>
    <mergeCell ref="A28:A29"/>
    <mergeCell ref="E28:H29"/>
    <mergeCell ref="A30:A31"/>
    <mergeCell ref="E30:H31"/>
    <mergeCell ref="L15:M16"/>
    <mergeCell ref="A21:A23"/>
    <mergeCell ref="B21:B22"/>
    <mergeCell ref="C21:C22"/>
    <mergeCell ref="D21:D22"/>
    <mergeCell ref="E21:H22"/>
    <mergeCell ref="A7:A8"/>
    <mergeCell ref="L7:M8"/>
    <mergeCell ref="E24:H25"/>
    <mergeCell ref="E26:H27"/>
    <mergeCell ref="A3:M3"/>
    <mergeCell ref="A4:A6"/>
    <mergeCell ref="B4:H4"/>
    <mergeCell ref="I4:K4"/>
    <mergeCell ref="L4:M6"/>
    <mergeCell ref="A9:A10"/>
    <mergeCell ref="L9:M10"/>
    <mergeCell ref="A11:A12"/>
    <mergeCell ref="L11:M12"/>
    <mergeCell ref="A13:A14"/>
    <mergeCell ref="L13:M14"/>
    <mergeCell ref="A15:A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600D-10CF-44DB-9A37-FC93A0197B17}">
  <dimension ref="A1:K58"/>
  <sheetViews>
    <sheetView workbookViewId="0">
      <pane xSplit="1" ySplit="3" topLeftCell="B24" activePane="bottomRight" state="frozen"/>
      <selection pane="bottomLeft" activeCell="A4" sqref="A4"/>
      <selection pane="topRight" activeCell="B1" sqref="B1"/>
      <selection pane="bottomRight" activeCell="H44" sqref="H44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31.60937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11" ht="18.75" x14ac:dyDescent="0.25">
      <c r="A1" s="1" t="s">
        <v>0</v>
      </c>
    </row>
    <row r="3" spans="1:11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11" x14ac:dyDescent="0.2">
      <c r="A4" s="391">
        <v>46174</v>
      </c>
      <c r="B4" s="182" t="s">
        <v>9</v>
      </c>
      <c r="C4" s="182"/>
      <c r="D4" s="200"/>
      <c r="E4" s="183">
        <v>0.41666666666666669</v>
      </c>
      <c r="F4" s="187"/>
      <c r="G4" s="188"/>
      <c r="H4" s="388" t="s">
        <v>2129</v>
      </c>
    </row>
    <row r="5" spans="1:11" ht="15" customHeight="1" x14ac:dyDescent="0.2">
      <c r="A5" s="391"/>
      <c r="B5" s="182" t="s">
        <v>9</v>
      </c>
      <c r="C5" s="182"/>
      <c r="D5" s="182"/>
      <c r="E5" s="183">
        <v>0.41666666666666669</v>
      </c>
      <c r="F5" s="187"/>
      <c r="G5" s="188"/>
      <c r="H5" s="389"/>
    </row>
    <row r="6" spans="1:11" x14ac:dyDescent="0.2">
      <c r="A6" s="391"/>
      <c r="B6" s="182" t="s">
        <v>14</v>
      </c>
      <c r="C6" s="182"/>
      <c r="D6" s="182"/>
      <c r="E6" s="183">
        <v>0.54166666666666663</v>
      </c>
      <c r="F6" s="187"/>
      <c r="G6" s="188"/>
      <c r="H6" s="389"/>
    </row>
    <row r="7" spans="1:11" x14ac:dyDescent="0.2">
      <c r="A7" s="391"/>
      <c r="B7" s="182" t="s">
        <v>20</v>
      </c>
      <c r="C7" s="201"/>
      <c r="D7" s="201"/>
      <c r="E7" s="183">
        <v>0.66666666666666663</v>
      </c>
      <c r="F7" s="202"/>
      <c r="G7" s="203"/>
      <c r="H7" s="389"/>
    </row>
    <row r="8" spans="1:11" ht="15" customHeight="1" x14ac:dyDescent="0.2">
      <c r="A8" s="391"/>
      <c r="B8" s="182" t="s">
        <v>22</v>
      </c>
      <c r="C8" s="182"/>
      <c r="D8" s="182"/>
      <c r="E8" s="183">
        <v>0.70833333333333337</v>
      </c>
      <c r="F8" s="184"/>
      <c r="G8" s="83"/>
      <c r="H8" s="389"/>
    </row>
    <row r="9" spans="1:11" ht="15" customHeight="1" x14ac:dyDescent="0.2">
      <c r="A9" s="391"/>
      <c r="B9" s="182" t="s">
        <v>26</v>
      </c>
      <c r="C9" s="182"/>
      <c r="D9" s="182"/>
      <c r="E9" s="183">
        <v>0.66666666666666663</v>
      </c>
      <c r="F9" s="187"/>
      <c r="G9" s="188"/>
      <c r="H9" s="389"/>
    </row>
    <row r="10" spans="1:11" ht="15" customHeight="1" x14ac:dyDescent="0.2">
      <c r="A10" s="391"/>
      <c r="B10" s="182" t="s">
        <v>26</v>
      </c>
      <c r="C10" s="182"/>
      <c r="D10" s="182"/>
      <c r="E10" s="183">
        <v>0.66666666666666663</v>
      </c>
      <c r="F10" s="202"/>
      <c r="G10" s="83"/>
      <c r="H10" s="389"/>
    </row>
    <row r="11" spans="1:11" ht="15" customHeight="1" x14ac:dyDescent="0.2">
      <c r="A11" s="391"/>
      <c r="B11" s="182" t="s">
        <v>26</v>
      </c>
      <c r="C11" s="182"/>
      <c r="D11" s="182"/>
      <c r="E11" s="183">
        <v>0.66666666666666663</v>
      </c>
      <c r="F11" s="202"/>
      <c r="G11" s="83"/>
      <c r="H11" s="389"/>
    </row>
    <row r="12" spans="1:11" ht="15" customHeight="1" x14ac:dyDescent="0.2">
      <c r="A12" s="391"/>
      <c r="B12" s="182" t="s">
        <v>26</v>
      </c>
      <c r="C12" s="182"/>
      <c r="D12" s="182"/>
      <c r="E12" s="183">
        <v>0.66666666666666663</v>
      </c>
      <c r="F12" s="187"/>
      <c r="G12" s="188"/>
      <c r="H12" s="389"/>
    </row>
    <row r="13" spans="1:11" ht="15" customHeight="1" x14ac:dyDescent="0.2">
      <c r="A13" s="391"/>
      <c r="B13" s="182" t="s">
        <v>26</v>
      </c>
      <c r="C13" s="182"/>
      <c r="D13" s="182"/>
      <c r="E13" s="183">
        <v>0.66666666666666663</v>
      </c>
      <c r="F13" s="202"/>
      <c r="G13" s="83"/>
      <c r="H13" s="389"/>
    </row>
    <row r="14" spans="1:11" ht="15" customHeight="1" x14ac:dyDescent="0.2">
      <c r="A14" s="391"/>
      <c r="B14" s="182" t="s">
        <v>1443</v>
      </c>
      <c r="C14" s="182"/>
      <c r="D14" s="182"/>
      <c r="E14" s="183">
        <v>0.66666666666666663</v>
      </c>
      <c r="F14" s="202"/>
      <c r="G14" s="83"/>
      <c r="H14" s="390"/>
      <c r="J14" s="8"/>
      <c r="K14" s="8"/>
    </row>
    <row r="15" spans="1:11" x14ac:dyDescent="0.2">
      <c r="A15" s="120"/>
      <c r="G15" s="161"/>
      <c r="H15" s="158"/>
    </row>
    <row r="16" spans="1:11" x14ac:dyDescent="0.2">
      <c r="A16" s="391">
        <v>46175</v>
      </c>
      <c r="B16" s="182" t="s">
        <v>315</v>
      </c>
      <c r="C16" s="182"/>
      <c r="D16" s="182"/>
      <c r="E16" s="183">
        <v>0.41666666666666669</v>
      </c>
      <c r="F16" s="187"/>
      <c r="G16" s="188"/>
      <c r="H16" s="388" t="s">
        <v>2130</v>
      </c>
    </row>
    <row r="17" spans="1:8" x14ac:dyDescent="0.2">
      <c r="A17" s="391"/>
      <c r="B17" s="182" t="s">
        <v>315</v>
      </c>
      <c r="C17" s="182"/>
      <c r="D17" s="182"/>
      <c r="E17" s="183">
        <v>0.41666666666666669</v>
      </c>
      <c r="F17" s="184"/>
      <c r="G17" s="83"/>
      <c r="H17" s="389"/>
    </row>
    <row r="18" spans="1:8" x14ac:dyDescent="0.2">
      <c r="A18" s="391"/>
      <c r="B18" s="182" t="s">
        <v>14</v>
      </c>
      <c r="C18" s="182"/>
      <c r="D18" s="182"/>
      <c r="E18" s="183">
        <v>0.54166666666666663</v>
      </c>
      <c r="F18" s="184"/>
      <c r="G18" s="83"/>
      <c r="H18" s="389"/>
    </row>
    <row r="19" spans="1:8" x14ac:dyDescent="0.2">
      <c r="A19" s="391"/>
      <c r="B19" s="182" t="s">
        <v>20</v>
      </c>
      <c r="C19" s="201"/>
      <c r="D19" s="201"/>
      <c r="E19" s="183">
        <v>0.70833333333333337</v>
      </c>
      <c r="F19" s="184"/>
      <c r="G19" s="204"/>
      <c r="H19" s="389"/>
    </row>
    <row r="20" spans="1:8" x14ac:dyDescent="0.2">
      <c r="A20" s="391"/>
      <c r="B20" s="182" t="s">
        <v>22</v>
      </c>
      <c r="C20" s="182"/>
      <c r="D20" s="182"/>
      <c r="E20" s="183">
        <v>0.70833333333333337</v>
      </c>
      <c r="F20" s="184"/>
      <c r="G20" s="83"/>
      <c r="H20" s="389"/>
    </row>
    <row r="21" spans="1:8" x14ac:dyDescent="0.2">
      <c r="A21" s="391"/>
      <c r="B21" s="182" t="s">
        <v>26</v>
      </c>
      <c r="C21" s="182"/>
      <c r="D21" s="182"/>
      <c r="E21" s="183">
        <v>0.66666666666666663</v>
      </c>
      <c r="F21" s="184"/>
      <c r="G21" s="83"/>
      <c r="H21" s="389"/>
    </row>
    <row r="22" spans="1:8" x14ac:dyDescent="0.2">
      <c r="A22" s="391"/>
      <c r="B22" s="182" t="s">
        <v>26</v>
      </c>
      <c r="C22" s="182"/>
      <c r="D22" s="182"/>
      <c r="E22" s="183">
        <v>0.66666666666666663</v>
      </c>
      <c r="F22" s="184"/>
      <c r="G22" s="83"/>
      <c r="H22" s="389"/>
    </row>
    <row r="23" spans="1:8" x14ac:dyDescent="0.2">
      <c r="A23" s="391"/>
      <c r="B23" s="182" t="s">
        <v>26</v>
      </c>
      <c r="C23" s="182"/>
      <c r="D23" s="182"/>
      <c r="E23" s="183">
        <v>0.66666666666666663</v>
      </c>
      <c r="F23" s="184"/>
      <c r="G23" s="83"/>
      <c r="H23" s="389"/>
    </row>
    <row r="24" spans="1:8" x14ac:dyDescent="0.2">
      <c r="A24" s="391"/>
      <c r="B24" s="182" t="s">
        <v>26</v>
      </c>
      <c r="C24" s="182"/>
      <c r="D24" s="182"/>
      <c r="E24" s="183">
        <v>0.66666666666666663</v>
      </c>
      <c r="F24" s="184"/>
      <c r="G24" s="83"/>
      <c r="H24" s="389"/>
    </row>
    <row r="25" spans="1:8" x14ac:dyDescent="0.2">
      <c r="A25" s="391"/>
      <c r="B25" s="182" t="s">
        <v>26</v>
      </c>
      <c r="C25" s="182"/>
      <c r="D25" s="182"/>
      <c r="E25" s="183">
        <v>0.66666666666666663</v>
      </c>
      <c r="F25" s="184"/>
      <c r="G25" s="83"/>
      <c r="H25" s="389"/>
    </row>
    <row r="26" spans="1:8" x14ac:dyDescent="0.2">
      <c r="A26" s="391"/>
      <c r="B26" s="182" t="s">
        <v>1443</v>
      </c>
      <c r="C26" s="182"/>
      <c r="D26" s="182"/>
      <c r="E26" s="183">
        <v>0.66666666666666663</v>
      </c>
      <c r="F26" s="184"/>
      <c r="G26" s="83"/>
      <c r="H26" s="390"/>
    </row>
    <row r="27" spans="1:8" x14ac:dyDescent="0.2">
      <c r="A27" s="120"/>
      <c r="F27" s="113"/>
      <c r="G27" s="161"/>
      <c r="H27" s="158"/>
    </row>
    <row r="28" spans="1:8" x14ac:dyDescent="0.2">
      <c r="A28" s="276">
        <v>46176</v>
      </c>
      <c r="B28" s="8" t="s">
        <v>9</v>
      </c>
      <c r="C28" s="8" t="s">
        <v>563</v>
      </c>
      <c r="D28" s="8" t="s">
        <v>564</v>
      </c>
      <c r="E28" s="172">
        <v>0.41666666666666669</v>
      </c>
      <c r="F28" s="175">
        <v>0.46111111111111114</v>
      </c>
      <c r="G28" s="47" t="s">
        <v>13</v>
      </c>
      <c r="H28" s="199" t="s">
        <v>2134</v>
      </c>
    </row>
    <row r="29" spans="1:8" x14ac:dyDescent="0.2">
      <c r="A29" s="276"/>
      <c r="B29" s="8" t="s">
        <v>9</v>
      </c>
      <c r="C29" s="8" t="s">
        <v>326</v>
      </c>
      <c r="D29" s="8" t="s">
        <v>302</v>
      </c>
      <c r="E29" s="172">
        <v>0.41666666666666669</v>
      </c>
      <c r="F29" s="175">
        <v>0.42430555555555555</v>
      </c>
      <c r="G29" s="47" t="s">
        <v>13</v>
      </c>
      <c r="H29" s="199" t="s">
        <v>2135</v>
      </c>
    </row>
    <row r="30" spans="1:8" x14ac:dyDescent="0.2">
      <c r="A30" s="276"/>
      <c r="B30" s="8" t="s">
        <v>14</v>
      </c>
      <c r="C30" s="8" t="s">
        <v>556</v>
      </c>
      <c r="D30" s="181" t="s">
        <v>567</v>
      </c>
      <c r="E30" s="172">
        <v>0.54166666666666663</v>
      </c>
      <c r="F30" s="175">
        <v>0.60972222222222228</v>
      </c>
      <c r="G30" s="47" t="s">
        <v>13</v>
      </c>
      <c r="H30" s="199" t="s">
        <v>2136</v>
      </c>
    </row>
    <row r="31" spans="1:8" x14ac:dyDescent="0.2">
      <c r="A31" s="276"/>
      <c r="B31" s="8" t="s">
        <v>20</v>
      </c>
      <c r="C31" s="8"/>
      <c r="D31" s="8"/>
      <c r="E31" s="172">
        <v>0.66666666666666663</v>
      </c>
      <c r="F31" s="177"/>
      <c r="G31" s="160"/>
      <c r="H31" s="199"/>
    </row>
    <row r="32" spans="1:8" x14ac:dyDescent="0.2">
      <c r="A32" s="276"/>
      <c r="B32" s="8" t="s">
        <v>22</v>
      </c>
      <c r="C32" s="8" t="s">
        <v>305</v>
      </c>
      <c r="D32" s="8" t="s">
        <v>306</v>
      </c>
      <c r="E32" s="172">
        <v>0.66666666666666663</v>
      </c>
      <c r="F32" s="175">
        <v>0.72777777777777775</v>
      </c>
      <c r="G32" s="47" t="s">
        <v>13</v>
      </c>
      <c r="H32" s="199"/>
    </row>
    <row r="33" spans="1:8" x14ac:dyDescent="0.2">
      <c r="A33" s="276"/>
      <c r="B33" s="8" t="s">
        <v>26</v>
      </c>
      <c r="C33" s="8" t="s">
        <v>1447</v>
      </c>
      <c r="D33" s="8" t="s">
        <v>1448</v>
      </c>
      <c r="E33" s="172">
        <v>0.66666666666666663</v>
      </c>
      <c r="F33" s="175">
        <v>0.68958333333333333</v>
      </c>
      <c r="G33" s="47" t="s">
        <v>13</v>
      </c>
      <c r="H33" s="199" t="s">
        <v>2138</v>
      </c>
    </row>
    <row r="34" spans="1:8" x14ac:dyDescent="0.2">
      <c r="A34" s="276"/>
      <c r="B34" s="8" t="s">
        <v>26</v>
      </c>
      <c r="C34" s="8" t="s">
        <v>309</v>
      </c>
      <c r="D34" s="8" t="s">
        <v>310</v>
      </c>
      <c r="E34" s="172">
        <v>0.66666666666666663</v>
      </c>
      <c r="F34" s="177">
        <v>0.625</v>
      </c>
      <c r="G34" s="173" t="s">
        <v>18</v>
      </c>
      <c r="H34" s="199"/>
    </row>
    <row r="35" spans="1:8" x14ac:dyDescent="0.2">
      <c r="A35" s="276"/>
      <c r="B35" s="8" t="s">
        <v>26</v>
      </c>
      <c r="C35" s="8" t="s">
        <v>1027</v>
      </c>
      <c r="D35" s="8" t="s">
        <v>314</v>
      </c>
      <c r="E35" s="172">
        <v>0.66666666666666663</v>
      </c>
      <c r="F35" s="177">
        <v>0.65416666666666667</v>
      </c>
      <c r="G35" s="173" t="s">
        <v>18</v>
      </c>
      <c r="H35" s="199"/>
    </row>
    <row r="36" spans="1:8" x14ac:dyDescent="0.2">
      <c r="A36" s="276"/>
      <c r="B36" s="8" t="s">
        <v>1443</v>
      </c>
      <c r="C36" s="8" t="s">
        <v>336</v>
      </c>
      <c r="D36" s="8" t="s">
        <v>561</v>
      </c>
      <c r="E36" s="172">
        <v>0.66666666666666663</v>
      </c>
      <c r="F36" s="175">
        <v>0.67152777777777772</v>
      </c>
      <c r="G36" s="47" t="s">
        <v>13</v>
      </c>
      <c r="H36" s="199" t="s">
        <v>2024</v>
      </c>
    </row>
    <row r="37" spans="1:8" x14ac:dyDescent="0.2">
      <c r="A37" s="120"/>
      <c r="E37" s="205"/>
      <c r="F37" s="205"/>
      <c r="G37" s="161"/>
      <c r="H37" s="194"/>
    </row>
    <row r="38" spans="1:8" x14ac:dyDescent="0.2">
      <c r="A38" s="276">
        <v>46177</v>
      </c>
      <c r="B38" s="8" t="s">
        <v>9</v>
      </c>
      <c r="C38" s="8" t="s">
        <v>556</v>
      </c>
      <c r="D38" s="181" t="s">
        <v>567</v>
      </c>
      <c r="E38" s="172">
        <v>0.41666666666666669</v>
      </c>
      <c r="F38" s="175">
        <v>0.42083333333333334</v>
      </c>
      <c r="G38" s="47" t="s">
        <v>13</v>
      </c>
      <c r="H38" s="195" t="s">
        <v>2178</v>
      </c>
    </row>
    <row r="39" spans="1:8" x14ac:dyDescent="0.2">
      <c r="A39" s="276"/>
      <c r="B39" s="8" t="s">
        <v>14</v>
      </c>
      <c r="C39" s="8" t="s">
        <v>811</v>
      </c>
      <c r="D39" s="8" t="s">
        <v>2133</v>
      </c>
      <c r="E39" s="172">
        <v>0.54166666666666663</v>
      </c>
      <c r="F39" s="175">
        <v>0.62777777777777777</v>
      </c>
      <c r="G39" s="47" t="s">
        <v>13</v>
      </c>
      <c r="H39" s="195" t="s">
        <v>2179</v>
      </c>
    </row>
    <row r="40" spans="1:8" x14ac:dyDescent="0.2">
      <c r="A40" s="276"/>
      <c r="B40" s="8" t="s">
        <v>20</v>
      </c>
      <c r="C40" s="8" t="s">
        <v>320</v>
      </c>
      <c r="D40" s="8" t="s">
        <v>321</v>
      </c>
      <c r="E40" s="172">
        <v>0.66666666666666663</v>
      </c>
      <c r="F40" s="177">
        <v>0.66666666666666663</v>
      </c>
      <c r="G40" s="173" t="s">
        <v>18</v>
      </c>
      <c r="H40" s="195"/>
    </row>
    <row r="41" spans="1:8" x14ac:dyDescent="0.2">
      <c r="A41" s="276"/>
      <c r="B41" s="8" t="s">
        <v>22</v>
      </c>
      <c r="C41" s="8" t="s">
        <v>305</v>
      </c>
      <c r="D41" s="8" t="s">
        <v>306</v>
      </c>
      <c r="E41" s="172">
        <v>0.70833333333333337</v>
      </c>
      <c r="F41" s="177">
        <v>0.38541666666666669</v>
      </c>
      <c r="G41" s="173" t="s">
        <v>18</v>
      </c>
      <c r="H41" s="195"/>
    </row>
    <row r="42" spans="1:8" x14ac:dyDescent="0.2">
      <c r="A42" s="276"/>
      <c r="B42" s="8" t="s">
        <v>26</v>
      </c>
      <c r="C42" s="8" t="s">
        <v>1880</v>
      </c>
      <c r="D42" s="8" t="s">
        <v>2176</v>
      </c>
      <c r="E42" s="172">
        <v>0.66666666666666663</v>
      </c>
      <c r="F42" s="177">
        <v>0.50694444444444442</v>
      </c>
      <c r="G42" s="173" t="s">
        <v>18</v>
      </c>
      <c r="H42" s="195"/>
    </row>
    <row r="43" spans="1:8" x14ac:dyDescent="0.2">
      <c r="A43" s="276"/>
      <c r="B43" s="8" t="s">
        <v>26</v>
      </c>
      <c r="C43" s="8" t="s">
        <v>563</v>
      </c>
      <c r="D43" s="8" t="s">
        <v>792</v>
      </c>
      <c r="E43" s="172">
        <v>0.66666666666666663</v>
      </c>
      <c r="F43" s="177">
        <v>0.65625</v>
      </c>
      <c r="G43" s="173" t="s">
        <v>18</v>
      </c>
      <c r="H43" s="195"/>
    </row>
    <row r="44" spans="1:8" x14ac:dyDescent="0.2">
      <c r="A44" s="276"/>
      <c r="B44" s="8" t="s">
        <v>26</v>
      </c>
      <c r="C44" s="8" t="s">
        <v>793</v>
      </c>
      <c r="D44" s="8" t="s">
        <v>1029</v>
      </c>
      <c r="E44" s="172">
        <v>0.66666666666666663</v>
      </c>
      <c r="F44" s="177">
        <v>0.6381944444444444</v>
      </c>
      <c r="G44" s="173" t="s">
        <v>18</v>
      </c>
      <c r="H44" s="195"/>
    </row>
    <row r="45" spans="1:8" x14ac:dyDescent="0.2">
      <c r="A45" s="276"/>
      <c r="B45" s="8" t="s">
        <v>1443</v>
      </c>
      <c r="C45" s="8" t="s">
        <v>570</v>
      </c>
      <c r="D45" s="8" t="s">
        <v>571</v>
      </c>
      <c r="E45" s="172">
        <v>0.66666666666666663</v>
      </c>
      <c r="F45" s="177">
        <v>0.57291666666666663</v>
      </c>
      <c r="G45" s="173" t="s">
        <v>18</v>
      </c>
      <c r="H45" s="195"/>
    </row>
    <row r="46" spans="1:8" x14ac:dyDescent="0.2">
      <c r="A46" s="120"/>
      <c r="F46" s="191"/>
      <c r="G46" s="161"/>
      <c r="H46" s="194"/>
    </row>
    <row r="47" spans="1:8" x14ac:dyDescent="0.2">
      <c r="A47" s="376">
        <v>46178</v>
      </c>
      <c r="B47" s="8" t="s">
        <v>9</v>
      </c>
      <c r="C47" s="8" t="s">
        <v>326</v>
      </c>
      <c r="D47" s="8" t="s">
        <v>2177</v>
      </c>
      <c r="E47" s="172">
        <v>0.41666666666666669</v>
      </c>
      <c r="F47" s="175">
        <v>0.41736111111111113</v>
      </c>
      <c r="G47" s="47" t="s">
        <v>13</v>
      </c>
      <c r="H47" s="195" t="s">
        <v>2253</v>
      </c>
    </row>
    <row r="48" spans="1:8" x14ac:dyDescent="0.2">
      <c r="A48" s="377"/>
      <c r="B48" s="8" t="s">
        <v>14</v>
      </c>
      <c r="C48" s="8" t="s">
        <v>320</v>
      </c>
      <c r="D48" s="8" t="s">
        <v>321</v>
      </c>
      <c r="E48" s="172">
        <v>0.54166666666666663</v>
      </c>
      <c r="F48" s="177">
        <v>0.36944444444444446</v>
      </c>
      <c r="G48" s="173" t="s">
        <v>18</v>
      </c>
      <c r="H48" s="195" t="s">
        <v>2254</v>
      </c>
    </row>
    <row r="49" spans="1:8" x14ac:dyDescent="0.2">
      <c r="A49" s="377"/>
      <c r="B49" s="8" t="s">
        <v>20</v>
      </c>
      <c r="C49" s="8"/>
      <c r="D49" s="8"/>
      <c r="E49" s="172">
        <v>0.66666666666666663</v>
      </c>
      <c r="F49" s="177"/>
      <c r="G49" s="159"/>
      <c r="H49" s="195"/>
    </row>
    <row r="50" spans="1:8" x14ac:dyDescent="0.2">
      <c r="A50" s="377"/>
      <c r="B50" s="8" t="s">
        <v>22</v>
      </c>
      <c r="C50" s="8" t="s">
        <v>305</v>
      </c>
      <c r="D50" s="8" t="s">
        <v>306</v>
      </c>
      <c r="E50" s="172">
        <v>0.70833333333333337</v>
      </c>
      <c r="F50" s="177">
        <v>0.37638888888888888</v>
      </c>
      <c r="G50" s="173" t="s">
        <v>18</v>
      </c>
      <c r="H50" s="195" t="s">
        <v>2254</v>
      </c>
    </row>
    <row r="51" spans="1:8" x14ac:dyDescent="0.2">
      <c r="A51" s="377"/>
      <c r="B51" s="8" t="s">
        <v>26</v>
      </c>
      <c r="C51" s="8" t="s">
        <v>811</v>
      </c>
      <c r="D51" s="8" t="s">
        <v>2252</v>
      </c>
      <c r="E51" s="172">
        <v>0.66666666666666663</v>
      </c>
      <c r="F51" s="177">
        <v>0.63888888888888884</v>
      </c>
      <c r="G51" s="173" t="s">
        <v>18</v>
      </c>
      <c r="H51" s="195"/>
    </row>
    <row r="52" spans="1:8" x14ac:dyDescent="0.2">
      <c r="A52" s="377"/>
      <c r="B52" s="8" t="s">
        <v>26</v>
      </c>
      <c r="C52" s="8" t="s">
        <v>1027</v>
      </c>
      <c r="D52" s="8" t="s">
        <v>314</v>
      </c>
      <c r="E52" s="172">
        <v>0.66666666666666663</v>
      </c>
      <c r="F52" s="175">
        <v>0.67986111111111114</v>
      </c>
      <c r="G52" s="47" t="s">
        <v>13</v>
      </c>
      <c r="H52" s="195" t="s">
        <v>2259</v>
      </c>
    </row>
    <row r="53" spans="1:8" x14ac:dyDescent="0.2">
      <c r="A53" s="378"/>
      <c r="B53" s="8" t="s">
        <v>1443</v>
      </c>
      <c r="C53" s="8" t="s">
        <v>316</v>
      </c>
      <c r="D53" s="8" t="s">
        <v>2021</v>
      </c>
      <c r="E53" s="172">
        <v>0.66666666666666663</v>
      </c>
      <c r="F53" s="175">
        <v>0.70277777777777772</v>
      </c>
      <c r="G53" s="47" t="s">
        <v>13</v>
      </c>
      <c r="H53" s="195" t="s">
        <v>2258</v>
      </c>
    </row>
    <row r="55" spans="1:8" x14ac:dyDescent="0.2">
      <c r="A55" s="96" t="s">
        <v>1228</v>
      </c>
      <c r="B55" s="386">
        <v>22</v>
      </c>
      <c r="C55" s="387"/>
    </row>
    <row r="56" spans="1:8" x14ac:dyDescent="0.2">
      <c r="A56" s="96" t="s">
        <v>1229</v>
      </c>
      <c r="B56" s="78">
        <v>11</v>
      </c>
      <c r="C56" s="179">
        <f>B56/B55</f>
        <v>0.5</v>
      </c>
    </row>
    <row r="57" spans="1:8" x14ac:dyDescent="0.2">
      <c r="A57" s="96" t="s">
        <v>1230</v>
      </c>
      <c r="B57" s="97">
        <v>11</v>
      </c>
      <c r="C57" s="180">
        <f>B57/B55</f>
        <v>0.5</v>
      </c>
    </row>
    <row r="58" spans="1:8" x14ac:dyDescent="0.2">
      <c r="B58" s="141"/>
    </row>
  </sheetData>
  <autoFilter ref="A3:H14" xr:uid="{007222C0-65E8-4432-AB3E-97A35AC12FA3}"/>
  <mergeCells count="8">
    <mergeCell ref="A47:A53"/>
    <mergeCell ref="B55:C55"/>
    <mergeCell ref="H4:H14"/>
    <mergeCell ref="H16:H26"/>
    <mergeCell ref="A4:A14"/>
    <mergeCell ref="A16:A26"/>
    <mergeCell ref="A28:A36"/>
    <mergeCell ref="A38:A45"/>
  </mergeCells>
  <conditionalFormatting sqref="F4:F14 F28:F45 F47:F53">
    <cfRule type="expression" dxfId="12" priority="3">
      <formula>AND(F4&lt;=E4,F4&lt;&gt;"")</formula>
    </cfRule>
    <cfRule type="expression" dxfId="11" priority="4">
      <formula>F4&gt;E4</formula>
    </cfRule>
  </conditionalFormatting>
  <conditionalFormatting sqref="F16:F26 E37">
    <cfRule type="expression" dxfId="10" priority="1">
      <formula>AND(E16&lt;=D16,E16&lt;&gt;"")</formula>
    </cfRule>
    <cfRule type="expression" dxfId="9" priority="2">
      <formula>E16&gt;D16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D7D1-1B03-403D-936C-6B7941BA2DC4}">
  <dimension ref="A1:P133"/>
  <sheetViews>
    <sheetView workbookViewId="0">
      <selection activeCell="H44" sqref="H44"/>
    </sheetView>
  </sheetViews>
  <sheetFormatPr defaultRowHeight="15" x14ac:dyDescent="0.2"/>
  <cols>
    <col min="1" max="1" width="24.078125" customWidth="1"/>
    <col min="2" max="2" width="20.58203125" style="2" customWidth="1"/>
    <col min="3" max="12" width="20.58203125" customWidth="1"/>
    <col min="13" max="13" width="58.91796875" customWidth="1"/>
    <col min="14" max="23" width="20.58203125" customWidth="1"/>
  </cols>
  <sheetData>
    <row r="1" spans="1:13" ht="18.75" x14ac:dyDescent="0.25">
      <c r="A1" s="1" t="s">
        <v>32</v>
      </c>
    </row>
    <row r="3" spans="1:13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spans="1:13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/>
      <c r="I4" s="281" t="s">
        <v>22</v>
      </c>
      <c r="J4" s="281"/>
      <c r="K4" s="281"/>
      <c r="L4" s="282" t="s">
        <v>8</v>
      </c>
      <c r="M4" s="282"/>
    </row>
    <row r="5" spans="1:13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1997</v>
      </c>
      <c r="H5" s="5" t="s">
        <v>40</v>
      </c>
      <c r="I5" s="4" t="s">
        <v>35</v>
      </c>
      <c r="J5" s="5" t="s">
        <v>36</v>
      </c>
      <c r="K5" s="5" t="s">
        <v>37</v>
      </c>
      <c r="L5" s="282"/>
      <c r="M5" s="282"/>
    </row>
    <row r="6" spans="1:13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264</v>
      </c>
      <c r="H6" s="15" t="s">
        <v>45</v>
      </c>
      <c r="I6" s="15" t="s">
        <v>46</v>
      </c>
      <c r="J6" s="15" t="s">
        <v>47</v>
      </c>
      <c r="K6" s="15" t="s">
        <v>47</v>
      </c>
      <c r="L6" s="282"/>
      <c r="M6" s="282"/>
    </row>
    <row r="7" spans="1:13" x14ac:dyDescent="0.2">
      <c r="A7" s="379">
        <v>46174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277" t="s">
        <v>2129</v>
      </c>
      <c r="M7" s="278"/>
    </row>
    <row r="8" spans="1:13" x14ac:dyDescent="0.2">
      <c r="A8" s="379"/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77"/>
      <c r="M8" s="278"/>
    </row>
    <row r="9" spans="1:13" ht="69.95" customHeight="1" x14ac:dyDescent="0.2">
      <c r="A9" s="379"/>
      <c r="B9" s="9"/>
      <c r="C9" s="9"/>
      <c r="D9" s="9"/>
      <c r="E9" s="9"/>
      <c r="F9" s="9"/>
      <c r="G9" s="9"/>
      <c r="H9" s="9"/>
      <c r="I9" s="9"/>
      <c r="J9" s="9"/>
      <c r="K9" s="9"/>
      <c r="L9" s="278"/>
      <c r="M9" s="278"/>
    </row>
    <row r="10" spans="1:13" x14ac:dyDescent="0.2">
      <c r="A10" s="276">
        <v>46175</v>
      </c>
      <c r="B10" s="53"/>
      <c r="C10" s="53"/>
      <c r="D10" s="53"/>
      <c r="E10" s="53"/>
      <c r="F10" s="53"/>
      <c r="G10" s="53"/>
      <c r="H10" s="53"/>
      <c r="I10" s="56"/>
      <c r="J10" s="56"/>
      <c r="K10" s="56"/>
      <c r="L10" s="283" t="s">
        <v>2130</v>
      </c>
      <c r="M10" s="283"/>
    </row>
    <row r="11" spans="1:13" x14ac:dyDescent="0.2">
      <c r="A11" s="276"/>
      <c r="B11" s="235"/>
      <c r="C11" s="235"/>
      <c r="D11" s="235"/>
      <c r="E11" s="235"/>
      <c r="F11" s="235"/>
      <c r="G11" s="235"/>
      <c r="H11" s="235"/>
      <c r="I11" s="236"/>
      <c r="J11" s="236"/>
      <c r="K11" s="236"/>
      <c r="L11" s="283"/>
      <c r="M11" s="283"/>
    </row>
    <row r="12" spans="1:13" ht="68.25" customHeight="1" x14ac:dyDescent="0.2">
      <c r="A12" s="276"/>
      <c r="B12" s="9"/>
      <c r="C12" s="9"/>
      <c r="D12" s="9"/>
      <c r="E12" s="9"/>
      <c r="F12" s="9"/>
      <c r="G12" s="9"/>
      <c r="H12" s="9"/>
      <c r="I12" s="9"/>
      <c r="J12" s="9"/>
      <c r="K12" s="9"/>
      <c r="L12" s="283"/>
      <c r="M12" s="283"/>
    </row>
    <row r="13" spans="1:13" ht="15" customHeight="1" x14ac:dyDescent="0.2">
      <c r="A13" s="276">
        <v>46176</v>
      </c>
      <c r="B13" s="51" t="s">
        <v>2142</v>
      </c>
      <c r="C13" s="53" t="s">
        <v>2144</v>
      </c>
      <c r="D13" s="53" t="s">
        <v>2144</v>
      </c>
      <c r="E13" s="53" t="s">
        <v>2149</v>
      </c>
      <c r="F13" s="53" t="s">
        <v>2150</v>
      </c>
      <c r="G13" s="53"/>
      <c r="H13" s="53"/>
      <c r="I13" s="74" t="s">
        <v>2141</v>
      </c>
      <c r="J13" s="74" t="s">
        <v>2145</v>
      </c>
      <c r="K13" s="74" t="s">
        <v>2145</v>
      </c>
      <c r="L13" s="406" t="s">
        <v>2151</v>
      </c>
      <c r="M13" s="406"/>
    </row>
    <row r="14" spans="1:13" ht="15" customHeight="1" x14ac:dyDescent="0.2">
      <c r="A14" s="276"/>
      <c r="B14" s="237"/>
      <c r="C14" s="235"/>
      <c r="D14" s="235"/>
      <c r="E14" s="235"/>
      <c r="F14" s="235"/>
      <c r="G14" s="235"/>
      <c r="H14" s="235"/>
      <c r="I14" s="238"/>
      <c r="J14" s="238"/>
      <c r="K14" s="238"/>
      <c r="L14" s="406"/>
      <c r="M14" s="406"/>
    </row>
    <row r="15" spans="1:13" ht="69.95" customHeight="1" x14ac:dyDescent="0.2">
      <c r="A15" s="276"/>
      <c r="B15" s="9" t="s">
        <v>2140</v>
      </c>
      <c r="C15" s="9" t="s">
        <v>2143</v>
      </c>
      <c r="D15" s="9" t="s">
        <v>2147</v>
      </c>
      <c r="E15" s="9" t="s">
        <v>2148</v>
      </c>
      <c r="F15" s="9">
        <v>8260100634</v>
      </c>
      <c r="G15" s="9"/>
      <c r="H15" s="9"/>
      <c r="I15" s="9">
        <v>8260100704</v>
      </c>
      <c r="J15" s="9">
        <v>8260100703</v>
      </c>
      <c r="K15" s="9" t="s">
        <v>2146</v>
      </c>
      <c r="L15" s="406"/>
      <c r="M15" s="406"/>
    </row>
    <row r="16" spans="1:13" x14ac:dyDescent="0.2">
      <c r="A16" s="276">
        <v>46177</v>
      </c>
      <c r="B16" s="51" t="s">
        <v>2169</v>
      </c>
      <c r="C16" s="51" t="s">
        <v>2170</v>
      </c>
      <c r="D16" s="51" t="s">
        <v>2170</v>
      </c>
      <c r="E16" s="51" t="s">
        <v>2173</v>
      </c>
      <c r="F16" s="53"/>
      <c r="G16" s="53"/>
      <c r="H16" s="53"/>
      <c r="I16" s="56" t="s">
        <v>2172</v>
      </c>
      <c r="J16" s="56" t="s">
        <v>2171</v>
      </c>
      <c r="K16" s="56" t="s">
        <v>2171</v>
      </c>
      <c r="L16" s="278" t="s">
        <v>1250</v>
      </c>
      <c r="M16" s="278"/>
    </row>
    <row r="17" spans="1:13" x14ac:dyDescent="0.2">
      <c r="A17" s="276"/>
      <c r="B17" s="237"/>
      <c r="C17" s="237"/>
      <c r="D17" s="237"/>
      <c r="E17" s="237"/>
      <c r="F17" s="235"/>
      <c r="G17" s="235"/>
      <c r="H17" s="235"/>
      <c r="I17" s="236"/>
      <c r="J17" s="236"/>
      <c r="K17" s="236"/>
      <c r="L17" s="278"/>
      <c r="M17" s="278"/>
    </row>
    <row r="18" spans="1:13" ht="69.95" customHeight="1" x14ac:dyDescent="0.2">
      <c r="A18" s="276"/>
      <c r="B18" s="9" t="s">
        <v>2168</v>
      </c>
      <c r="C18" s="9">
        <v>8260100716</v>
      </c>
      <c r="D18" s="9">
        <v>8260100718</v>
      </c>
      <c r="E18" s="9">
        <v>8260100720</v>
      </c>
      <c r="F18" s="7"/>
      <c r="G18" s="7"/>
      <c r="H18" s="7"/>
      <c r="I18" s="9">
        <v>8260100773</v>
      </c>
      <c r="J18" s="9">
        <v>8260100774</v>
      </c>
      <c r="K18" s="7">
        <v>8260100775</v>
      </c>
      <c r="L18" s="278"/>
      <c r="M18" s="278"/>
    </row>
    <row r="19" spans="1:13" ht="15" customHeight="1" x14ac:dyDescent="0.2">
      <c r="A19" s="276">
        <v>46178</v>
      </c>
      <c r="B19" s="51" t="s">
        <v>1240</v>
      </c>
      <c r="C19" s="51" t="s">
        <v>2249</v>
      </c>
      <c r="D19" s="51" t="s">
        <v>2249</v>
      </c>
      <c r="E19" s="53"/>
      <c r="F19" s="53"/>
      <c r="G19" s="53"/>
      <c r="H19" s="53"/>
      <c r="I19" s="74" t="s">
        <v>2247</v>
      </c>
      <c r="J19" s="74" t="s">
        <v>2250</v>
      </c>
      <c r="K19" s="74" t="s">
        <v>2250</v>
      </c>
      <c r="L19" s="278" t="s">
        <v>1250</v>
      </c>
      <c r="M19" s="278"/>
    </row>
    <row r="20" spans="1:13" ht="15" customHeight="1" x14ac:dyDescent="0.2">
      <c r="A20" s="276"/>
      <c r="B20" s="237"/>
      <c r="C20" s="237"/>
      <c r="D20" s="237"/>
      <c r="E20" s="235"/>
      <c r="F20" s="235"/>
      <c r="G20" s="235"/>
      <c r="H20" s="235"/>
      <c r="I20" s="238"/>
      <c r="J20" s="238"/>
      <c r="K20" s="238"/>
      <c r="L20" s="278"/>
      <c r="M20" s="278"/>
    </row>
    <row r="21" spans="1:13" ht="69.95" customHeight="1" x14ac:dyDescent="0.2">
      <c r="A21" s="276"/>
      <c r="B21" s="9" t="s">
        <v>2245</v>
      </c>
      <c r="C21" s="9" t="s">
        <v>2248</v>
      </c>
      <c r="D21" s="9">
        <v>8260100780</v>
      </c>
      <c r="E21" s="9"/>
      <c r="F21" s="9"/>
      <c r="G21" s="9"/>
      <c r="H21" s="9"/>
      <c r="I21" s="9" t="s">
        <v>2246</v>
      </c>
      <c r="J21" s="9" t="s">
        <v>2251</v>
      </c>
      <c r="K21" s="7">
        <v>8260100839</v>
      </c>
      <c r="L21" s="278"/>
      <c r="M21" s="278"/>
    </row>
    <row r="22" spans="1:13" x14ac:dyDescent="0.2">
      <c r="A22" s="157" t="s">
        <v>1274</v>
      </c>
      <c r="B22" s="143">
        <f>B23+B23</f>
        <v>0</v>
      </c>
      <c r="C22" s="143">
        <f t="shared" ref="C22:K22" si="0">C23+C23</f>
        <v>2</v>
      </c>
      <c r="D22" s="143">
        <f t="shared" si="0"/>
        <v>2</v>
      </c>
      <c r="E22" s="143">
        <f t="shared" si="0"/>
        <v>2</v>
      </c>
      <c r="F22" s="143">
        <f t="shared" si="0"/>
        <v>2</v>
      </c>
      <c r="G22" s="143">
        <f t="shared" si="0"/>
        <v>0</v>
      </c>
      <c r="H22" s="143">
        <f t="shared" si="0"/>
        <v>0</v>
      </c>
      <c r="I22" s="143">
        <f t="shared" si="0"/>
        <v>6</v>
      </c>
      <c r="J22" s="143">
        <f t="shared" si="0"/>
        <v>6</v>
      </c>
      <c r="K22" s="143">
        <f t="shared" si="0"/>
        <v>6</v>
      </c>
      <c r="L22" s="149">
        <f>SUM(B22:K22)</f>
        <v>26</v>
      </c>
      <c r="M22" s="144"/>
    </row>
    <row r="23" spans="1:13" x14ac:dyDescent="0.2">
      <c r="A23" s="157" t="s">
        <v>1275</v>
      </c>
      <c r="B23" s="143">
        <v>0</v>
      </c>
      <c r="C23" s="143">
        <v>1</v>
      </c>
      <c r="D23" s="143">
        <v>1</v>
      </c>
      <c r="E23" s="143">
        <v>1</v>
      </c>
      <c r="F23" s="143">
        <v>1</v>
      </c>
      <c r="G23" s="143">
        <v>0</v>
      </c>
      <c r="H23" s="143">
        <v>0</v>
      </c>
      <c r="I23" s="3">
        <v>3</v>
      </c>
      <c r="J23" s="3">
        <v>3</v>
      </c>
      <c r="K23" s="3">
        <v>3</v>
      </c>
      <c r="L23" s="149">
        <f>SUM(B23:K23)</f>
        <v>13</v>
      </c>
      <c r="M23" s="144"/>
    </row>
    <row r="24" spans="1:13" x14ac:dyDescent="0.2">
      <c r="A24" s="158" t="s">
        <v>1276</v>
      </c>
      <c r="B24" s="148">
        <v>3</v>
      </c>
      <c r="C24" s="148">
        <v>2</v>
      </c>
      <c r="D24" s="148">
        <v>2</v>
      </c>
      <c r="E24" s="148">
        <v>1</v>
      </c>
      <c r="F24" s="148">
        <v>0</v>
      </c>
      <c r="G24" s="148">
        <v>0</v>
      </c>
      <c r="H24" s="148">
        <v>0</v>
      </c>
      <c r="I24" s="147">
        <v>0</v>
      </c>
      <c r="J24" s="147">
        <v>0</v>
      </c>
      <c r="K24" s="147">
        <v>0</v>
      </c>
      <c r="L24" s="150">
        <f>SUM(B24:K24)</f>
        <v>8</v>
      </c>
    </row>
    <row r="25" spans="1:13" x14ac:dyDescent="0.2">
      <c r="C25" s="2"/>
      <c r="D25" s="2"/>
      <c r="E25" s="2"/>
      <c r="F25" s="2"/>
      <c r="G25" s="2"/>
      <c r="H25" s="2"/>
    </row>
    <row r="26" spans="1:13" ht="15" customHeight="1" x14ac:dyDescent="0.2">
      <c r="A26" s="280" t="s">
        <v>34</v>
      </c>
      <c r="B26" s="286" t="s">
        <v>379</v>
      </c>
      <c r="C26" s="286" t="s">
        <v>83</v>
      </c>
      <c r="D26" s="286" t="s">
        <v>84</v>
      </c>
      <c r="E26" s="287" t="s">
        <v>8</v>
      </c>
      <c r="F26" s="287"/>
      <c r="G26" s="287"/>
      <c r="H26" s="288"/>
    </row>
    <row r="27" spans="1:13" x14ac:dyDescent="0.2">
      <c r="A27" s="280"/>
      <c r="B27" s="286"/>
      <c r="C27" s="286"/>
      <c r="D27" s="286"/>
      <c r="E27" s="289"/>
      <c r="F27" s="289"/>
      <c r="G27" s="289"/>
      <c r="H27" s="290"/>
    </row>
    <row r="28" spans="1:13" x14ac:dyDescent="0.2">
      <c r="A28" s="280"/>
      <c r="B28" s="14" t="s">
        <v>380</v>
      </c>
      <c r="C28" s="15" t="s">
        <v>381</v>
      </c>
      <c r="D28" s="15" t="s">
        <v>382</v>
      </c>
      <c r="E28" s="130"/>
      <c r="F28" s="130"/>
      <c r="G28" s="130"/>
      <c r="H28" s="131"/>
    </row>
    <row r="29" spans="1:13" s="6" customFormat="1" x14ac:dyDescent="0.2">
      <c r="A29" s="379">
        <v>46174</v>
      </c>
      <c r="B29" s="74"/>
      <c r="C29" s="53"/>
      <c r="D29" s="53"/>
      <c r="E29" s="392" t="s">
        <v>2129</v>
      </c>
      <c r="F29" s="393"/>
      <c r="G29" s="393"/>
      <c r="H29" s="394"/>
    </row>
    <row r="30" spans="1:13" s="6" customFormat="1" x14ac:dyDescent="0.2">
      <c r="A30" s="379"/>
      <c r="B30" s="238"/>
      <c r="C30" s="235"/>
      <c r="D30" s="235"/>
      <c r="E30" s="407"/>
      <c r="F30" s="408"/>
      <c r="G30" s="408"/>
      <c r="H30" s="409"/>
    </row>
    <row r="31" spans="1:13" s="6" customFormat="1" ht="69.95" customHeight="1" x14ac:dyDescent="0.2">
      <c r="A31" s="379"/>
      <c r="B31" s="9"/>
      <c r="C31" s="9"/>
      <c r="D31" s="7"/>
      <c r="E31" s="395"/>
      <c r="F31" s="396"/>
      <c r="G31" s="396"/>
      <c r="H31" s="397"/>
      <c r="J31" s="110"/>
      <c r="K31" s="110"/>
    </row>
    <row r="32" spans="1:13" s="6" customFormat="1" x14ac:dyDescent="0.2">
      <c r="A32" s="276">
        <v>46175</v>
      </c>
      <c r="B32" s="198"/>
      <c r="C32" s="53"/>
      <c r="D32" s="53"/>
      <c r="E32" s="301" t="s">
        <v>2130</v>
      </c>
      <c r="F32" s="302"/>
      <c r="G32" s="302"/>
      <c r="H32" s="303"/>
    </row>
    <row r="33" spans="1:13" s="6" customFormat="1" x14ac:dyDescent="0.2">
      <c r="A33" s="276"/>
      <c r="B33" s="239"/>
      <c r="C33" s="235"/>
      <c r="D33" s="235"/>
      <c r="E33" s="304"/>
      <c r="F33" s="305"/>
      <c r="G33" s="305"/>
      <c r="H33" s="306"/>
    </row>
    <row r="34" spans="1:13" s="6" customFormat="1" ht="69.95" customHeight="1" x14ac:dyDescent="0.2">
      <c r="A34" s="276"/>
      <c r="B34" s="9"/>
      <c r="C34" s="7"/>
      <c r="D34" s="7"/>
      <c r="E34" s="307"/>
      <c r="F34" s="308"/>
      <c r="G34" s="308"/>
      <c r="H34" s="309"/>
    </row>
    <row r="35" spans="1:13" s="6" customFormat="1" x14ac:dyDescent="0.2">
      <c r="A35" s="276">
        <v>46176</v>
      </c>
      <c r="B35" s="74" t="s">
        <v>2137</v>
      </c>
      <c r="C35" s="11"/>
      <c r="D35" s="11"/>
      <c r="E35" s="310"/>
      <c r="F35" s="311"/>
      <c r="G35" s="311"/>
      <c r="H35" s="312"/>
    </row>
    <row r="36" spans="1:13" s="6" customFormat="1" x14ac:dyDescent="0.2">
      <c r="A36" s="276"/>
      <c r="B36" s="238"/>
      <c r="C36" s="7"/>
      <c r="D36" s="7"/>
      <c r="E36" s="313"/>
      <c r="F36" s="314"/>
      <c r="G36" s="314"/>
      <c r="H36" s="315"/>
    </row>
    <row r="37" spans="1:13" s="6" customFormat="1" ht="80.099999999999994" customHeight="1" x14ac:dyDescent="0.2">
      <c r="A37" s="276"/>
      <c r="B37" s="9" t="s">
        <v>2139</v>
      </c>
      <c r="C37" s="9"/>
      <c r="D37" s="7"/>
      <c r="E37" s="316"/>
      <c r="F37" s="317"/>
      <c r="G37" s="317"/>
      <c r="H37" s="318"/>
    </row>
    <row r="38" spans="1:13" s="6" customFormat="1" x14ac:dyDescent="0.2">
      <c r="A38" s="276">
        <v>46177</v>
      </c>
      <c r="B38" s="115" t="s">
        <v>2180</v>
      </c>
      <c r="C38" s="56" t="s">
        <v>2181</v>
      </c>
      <c r="D38" s="53"/>
      <c r="E38" s="292" t="s">
        <v>2182</v>
      </c>
      <c r="F38" s="293"/>
      <c r="G38" s="293"/>
      <c r="H38" s="294"/>
    </row>
    <row r="39" spans="1:13" s="6" customFormat="1" x14ac:dyDescent="0.2">
      <c r="A39" s="276"/>
      <c r="B39" s="240"/>
      <c r="C39" s="236"/>
      <c r="D39" s="235"/>
      <c r="E39" s="295"/>
      <c r="F39" s="296"/>
      <c r="G39" s="296"/>
      <c r="H39" s="297"/>
    </row>
    <row r="40" spans="1:13" s="6" customFormat="1" ht="65.099999999999994" customHeight="1" x14ac:dyDescent="0.2">
      <c r="A40" s="276"/>
      <c r="B40" s="9" t="s">
        <v>2174</v>
      </c>
      <c r="C40" s="9" t="s">
        <v>2175</v>
      </c>
      <c r="D40" s="7"/>
      <c r="E40" s="298"/>
      <c r="F40" s="299"/>
      <c r="G40" s="299"/>
      <c r="H40" s="300"/>
    </row>
    <row r="41" spans="1:13" s="6" customFormat="1" x14ac:dyDescent="0.2">
      <c r="A41" s="276">
        <v>46178</v>
      </c>
      <c r="B41" s="56" t="s">
        <v>2255</v>
      </c>
      <c r="C41" s="53"/>
      <c r="D41" s="53"/>
      <c r="E41" s="124"/>
      <c r="F41" s="124"/>
      <c r="G41" s="124"/>
      <c r="H41" s="127"/>
    </row>
    <row r="42" spans="1:13" s="6" customFormat="1" x14ac:dyDescent="0.2">
      <c r="A42" s="276"/>
      <c r="B42" s="236"/>
      <c r="C42" s="235"/>
      <c r="D42" s="235"/>
      <c r="E42" s="124"/>
      <c r="F42" s="124"/>
      <c r="G42" s="124"/>
      <c r="H42" s="127"/>
    </row>
    <row r="43" spans="1:13" s="6" customFormat="1" ht="69.95" customHeight="1" x14ac:dyDescent="0.2">
      <c r="A43" s="276"/>
      <c r="B43" s="9" t="s">
        <v>2244</v>
      </c>
      <c r="C43" s="7"/>
      <c r="D43" s="7"/>
      <c r="E43" s="128"/>
      <c r="F43" s="128"/>
      <c r="G43" s="128"/>
      <c r="H43" s="129"/>
    </row>
    <row r="44" spans="1:13" s="6" customFormat="1" x14ac:dyDescent="0.2">
      <c r="A44" s="157" t="s">
        <v>1274</v>
      </c>
      <c r="B44" s="143">
        <f>B45+B46</f>
        <v>3</v>
      </c>
      <c r="C44" s="143">
        <f t="shared" ref="C44:D44" si="1">C45+C46</f>
        <v>1</v>
      </c>
      <c r="D44" s="143">
        <f t="shared" si="1"/>
        <v>0</v>
      </c>
      <c r="E44" s="149">
        <f>SUM(B44:D44)</f>
        <v>4</v>
      </c>
      <c r="F44" s="108"/>
      <c r="G44" s="108"/>
      <c r="H44" s="108"/>
    </row>
    <row r="45" spans="1:13" s="6" customFormat="1" x14ac:dyDescent="0.2">
      <c r="A45" s="157" t="s">
        <v>1275</v>
      </c>
      <c r="B45" s="143">
        <v>2</v>
      </c>
      <c r="C45" s="3">
        <v>1</v>
      </c>
      <c r="D45" s="3">
        <v>0</v>
      </c>
      <c r="E45" s="149">
        <f>SUM(B45:D45)</f>
        <v>3</v>
      </c>
      <c r="F45" s="108"/>
      <c r="G45" s="108"/>
      <c r="H45" s="108"/>
    </row>
    <row r="46" spans="1:13" s="6" customFormat="1" x14ac:dyDescent="0.2">
      <c r="A46" s="158" t="s">
        <v>1276</v>
      </c>
      <c r="B46" s="146">
        <v>1</v>
      </c>
      <c r="C46" s="147">
        <v>0</v>
      </c>
      <c r="D46" s="3">
        <v>0</v>
      </c>
      <c r="E46" s="150">
        <f>SUM(B46:D46)</f>
        <v>1</v>
      </c>
      <c r="F46" s="108"/>
      <c r="G46" s="108"/>
      <c r="H46" s="108"/>
    </row>
    <row r="47" spans="1:13" x14ac:dyDescent="0.2">
      <c r="C47" s="2"/>
      <c r="D47" s="2"/>
      <c r="E47" s="2"/>
      <c r="F47" s="2"/>
      <c r="G47" s="2"/>
      <c r="H47" s="2"/>
    </row>
    <row r="48" spans="1:13" x14ac:dyDescent="0.2">
      <c r="A48" s="279" t="s">
        <v>96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38"/>
      <c r="M48" s="38"/>
    </row>
    <row r="49" spans="1:11" ht="28.9" customHeight="1" x14ac:dyDescent="0.2">
      <c r="A49" s="280" t="s">
        <v>34</v>
      </c>
      <c r="B49" s="4" t="s">
        <v>97</v>
      </c>
      <c r="C49" s="5" t="s">
        <v>98</v>
      </c>
      <c r="D49" s="5" t="s">
        <v>99</v>
      </c>
      <c r="E49" s="5" t="s">
        <v>100</v>
      </c>
      <c r="F49" s="5" t="s">
        <v>101</v>
      </c>
      <c r="G49" s="5" t="s">
        <v>2126</v>
      </c>
      <c r="H49" s="5"/>
      <c r="I49" s="291" t="s">
        <v>8</v>
      </c>
      <c r="J49" s="291"/>
      <c r="K49" s="291"/>
    </row>
    <row r="50" spans="1:11" x14ac:dyDescent="0.2">
      <c r="A50" s="280"/>
      <c r="B50" s="14" t="s">
        <v>103</v>
      </c>
      <c r="C50" s="15" t="s">
        <v>104</v>
      </c>
      <c r="D50" s="15" t="s">
        <v>42</v>
      </c>
      <c r="E50" s="15" t="s">
        <v>105</v>
      </c>
      <c r="F50" s="15" t="s">
        <v>106</v>
      </c>
      <c r="G50" s="15" t="s">
        <v>107</v>
      </c>
      <c r="H50" s="15"/>
      <c r="I50" s="291"/>
      <c r="J50" s="291"/>
      <c r="K50" s="291"/>
    </row>
    <row r="51" spans="1:11" x14ac:dyDescent="0.2">
      <c r="A51" s="379">
        <v>46174</v>
      </c>
      <c r="B51" s="61"/>
      <c r="C51" s="61"/>
      <c r="D51" s="61"/>
      <c r="E51" s="61"/>
      <c r="F51" s="61"/>
      <c r="G51" s="61"/>
      <c r="H51" s="61"/>
      <c r="I51" s="278" t="s">
        <v>2129</v>
      </c>
      <c r="J51" s="278"/>
      <c r="K51" s="278"/>
    </row>
    <row r="52" spans="1:11" x14ac:dyDescent="0.2">
      <c r="A52" s="379"/>
      <c r="B52" s="4"/>
      <c r="C52" s="4"/>
      <c r="D52" s="4"/>
      <c r="E52" s="4"/>
      <c r="F52" s="4"/>
      <c r="G52" s="4"/>
      <c r="H52" s="4"/>
      <c r="I52" s="278"/>
      <c r="J52" s="278"/>
      <c r="K52" s="278"/>
    </row>
    <row r="53" spans="1:11" ht="45" customHeight="1" x14ac:dyDescent="0.2">
      <c r="A53" s="379"/>
      <c r="B53" s="9"/>
      <c r="C53" s="121"/>
      <c r="D53" s="9"/>
      <c r="E53" s="9"/>
      <c r="F53" s="9"/>
      <c r="G53" s="9"/>
      <c r="H53" s="9"/>
      <c r="I53" s="278"/>
      <c r="J53" s="278"/>
      <c r="K53" s="278"/>
    </row>
    <row r="54" spans="1:11" x14ac:dyDescent="0.2">
      <c r="A54" s="276">
        <v>46175</v>
      </c>
      <c r="B54" s="61"/>
      <c r="C54" s="61"/>
      <c r="D54" s="61"/>
      <c r="E54" s="61"/>
      <c r="F54" s="61"/>
      <c r="G54" s="61"/>
      <c r="H54" s="61"/>
      <c r="I54" s="319" t="s">
        <v>2130</v>
      </c>
      <c r="J54" s="319"/>
      <c r="K54" s="319"/>
    </row>
    <row r="55" spans="1:11" x14ac:dyDescent="0.2">
      <c r="A55" s="276"/>
      <c r="B55" s="4"/>
      <c r="C55" s="4"/>
      <c r="D55" s="4"/>
      <c r="E55" s="4"/>
      <c r="F55" s="4"/>
      <c r="G55" s="4"/>
      <c r="H55" s="4"/>
      <c r="I55" s="319"/>
      <c r="J55" s="319"/>
      <c r="K55" s="319"/>
    </row>
    <row r="56" spans="1:11" ht="45" customHeight="1" x14ac:dyDescent="0.2">
      <c r="A56" s="276"/>
      <c r="B56" s="9"/>
      <c r="C56" s="9"/>
      <c r="D56" s="9"/>
      <c r="E56" s="9"/>
      <c r="F56" s="9"/>
      <c r="G56" s="9"/>
      <c r="H56" s="9"/>
      <c r="I56" s="319"/>
      <c r="J56" s="319"/>
      <c r="K56" s="319"/>
    </row>
    <row r="57" spans="1:11" x14ac:dyDescent="0.2">
      <c r="A57" s="276">
        <v>46176</v>
      </c>
      <c r="B57" s="61" t="s">
        <v>2157</v>
      </c>
      <c r="C57" s="61" t="s">
        <v>2159</v>
      </c>
      <c r="D57" s="61" t="s">
        <v>2164</v>
      </c>
      <c r="E57" s="61" t="s">
        <v>2201</v>
      </c>
      <c r="F57" s="61" t="s">
        <v>2161</v>
      </c>
      <c r="G57" s="61" t="s">
        <v>2202</v>
      </c>
      <c r="H57" s="61"/>
      <c r="I57" s="278"/>
      <c r="J57" s="278"/>
      <c r="K57" s="278"/>
    </row>
    <row r="58" spans="1:11" x14ac:dyDescent="0.2">
      <c r="A58" s="276"/>
      <c r="B58" s="4"/>
      <c r="C58" s="4"/>
      <c r="D58" s="4"/>
      <c r="E58" s="4"/>
      <c r="F58" s="4"/>
      <c r="G58" s="4"/>
      <c r="H58" s="4"/>
      <c r="I58" s="278"/>
      <c r="J58" s="278"/>
      <c r="K58" s="278"/>
    </row>
    <row r="59" spans="1:11" ht="45" customHeight="1" x14ac:dyDescent="0.2">
      <c r="A59" s="276"/>
      <c r="B59" s="9">
        <v>8260100681</v>
      </c>
      <c r="C59" s="9" t="s">
        <v>2158</v>
      </c>
      <c r="D59" s="9">
        <v>8260100675</v>
      </c>
      <c r="E59" s="9">
        <v>8260100680</v>
      </c>
      <c r="F59" s="9" t="s">
        <v>2160</v>
      </c>
      <c r="G59" s="9">
        <v>8260100679</v>
      </c>
      <c r="H59" s="9"/>
      <c r="I59" s="278"/>
      <c r="J59" s="278"/>
      <c r="K59" s="278"/>
    </row>
    <row r="60" spans="1:11" ht="15" customHeight="1" x14ac:dyDescent="0.2">
      <c r="A60" s="276">
        <v>46177</v>
      </c>
      <c r="B60" s="61" t="s">
        <v>2167</v>
      </c>
      <c r="C60" s="61" t="s">
        <v>2183</v>
      </c>
      <c r="D60" s="61" t="s">
        <v>2184</v>
      </c>
      <c r="E60" s="61" t="s">
        <v>2214</v>
      </c>
      <c r="F60" s="61" t="s">
        <v>2167</v>
      </c>
      <c r="G60" s="61" t="s">
        <v>2228</v>
      </c>
      <c r="H60" s="61"/>
      <c r="I60" s="278"/>
      <c r="J60" s="278"/>
      <c r="K60" s="278"/>
    </row>
    <row r="61" spans="1:11" ht="15" customHeight="1" x14ac:dyDescent="0.2">
      <c r="A61" s="276"/>
      <c r="B61" s="4"/>
      <c r="C61" s="4"/>
      <c r="D61" s="4"/>
      <c r="E61" s="4"/>
      <c r="F61" s="4"/>
      <c r="G61" s="4"/>
      <c r="H61" s="4"/>
      <c r="I61" s="278"/>
      <c r="J61" s="278"/>
      <c r="K61" s="278"/>
    </row>
    <row r="62" spans="1:11" ht="45" customHeight="1" x14ac:dyDescent="0.2">
      <c r="A62" s="276"/>
      <c r="B62" s="9">
        <v>8260100766</v>
      </c>
      <c r="C62" s="9" t="s">
        <v>2165</v>
      </c>
      <c r="D62" s="9">
        <v>8260100760</v>
      </c>
      <c r="E62" s="9">
        <v>8260100768</v>
      </c>
      <c r="F62" s="9" t="s">
        <v>2166</v>
      </c>
      <c r="G62" s="9">
        <v>8260100743</v>
      </c>
      <c r="H62" s="9"/>
      <c r="I62" s="278"/>
      <c r="J62" s="278"/>
      <c r="K62" s="278"/>
    </row>
    <row r="63" spans="1:11" x14ac:dyDescent="0.2">
      <c r="A63" s="276">
        <v>46178</v>
      </c>
      <c r="B63" s="61" t="s">
        <v>2240</v>
      </c>
      <c r="C63" s="61" t="s">
        <v>2241</v>
      </c>
      <c r="D63" s="61" t="s">
        <v>2242</v>
      </c>
      <c r="E63" s="61" t="s">
        <v>2227</v>
      </c>
      <c r="F63" s="61" t="s">
        <v>2243</v>
      </c>
      <c r="G63" s="61" t="s">
        <v>2228</v>
      </c>
      <c r="H63" s="61"/>
      <c r="I63" s="319"/>
      <c r="J63" s="319"/>
      <c r="K63" s="319"/>
    </row>
    <row r="64" spans="1:11" x14ac:dyDescent="0.2">
      <c r="A64" s="276"/>
      <c r="B64" s="4"/>
      <c r="C64" s="4"/>
      <c r="D64" s="4"/>
      <c r="E64" s="4"/>
      <c r="F64" s="4"/>
      <c r="G64" s="4"/>
      <c r="H64" s="4"/>
      <c r="I64" s="319"/>
      <c r="J64" s="319"/>
      <c r="K64" s="319"/>
    </row>
    <row r="65" spans="1:16" s="6" customFormat="1" ht="45" customHeight="1" x14ac:dyDescent="0.2">
      <c r="A65" s="276"/>
      <c r="B65" s="9">
        <v>8260100815</v>
      </c>
      <c r="C65" s="9" t="s">
        <v>2199</v>
      </c>
      <c r="D65" s="9">
        <v>8260100805</v>
      </c>
      <c r="E65" s="9">
        <v>8260100826</v>
      </c>
      <c r="F65" s="9" t="s">
        <v>2200</v>
      </c>
      <c r="G65" s="9">
        <v>8260100814</v>
      </c>
      <c r="H65" s="9"/>
      <c r="I65" s="319"/>
      <c r="J65" s="319"/>
      <c r="K65" s="319"/>
    </row>
    <row r="66" spans="1:16" s="6" customFormat="1" x14ac:dyDescent="0.2">
      <c r="A66" s="157" t="s">
        <v>1274</v>
      </c>
      <c r="B66" s="143">
        <f>B67+B68</f>
        <v>3</v>
      </c>
      <c r="C66" s="143">
        <f t="shared" ref="C66:G66" si="2">C67+C68</f>
        <v>3</v>
      </c>
      <c r="D66" s="143">
        <f t="shared" si="2"/>
        <v>3</v>
      </c>
      <c r="E66" s="143">
        <f t="shared" si="2"/>
        <v>3</v>
      </c>
      <c r="F66" s="143">
        <f t="shared" si="2"/>
        <v>3</v>
      </c>
      <c r="G66" s="143">
        <f t="shared" si="2"/>
        <v>3</v>
      </c>
      <c r="H66" s="143"/>
      <c r="I66" s="113">
        <f>SUM(B66:H66)</f>
        <v>18</v>
      </c>
      <c r="J66" s="145"/>
      <c r="K66" s="145"/>
    </row>
    <row r="67" spans="1:16" s="6" customFormat="1" x14ac:dyDescent="0.2">
      <c r="A67" s="157" t="s">
        <v>1275</v>
      </c>
      <c r="B67" s="143">
        <v>3</v>
      </c>
      <c r="C67" s="143">
        <v>3</v>
      </c>
      <c r="D67" s="143">
        <v>3</v>
      </c>
      <c r="E67" s="143">
        <v>3</v>
      </c>
      <c r="F67" s="143">
        <v>3</v>
      </c>
      <c r="G67" s="143">
        <v>3</v>
      </c>
      <c r="H67" s="143"/>
      <c r="I67" s="113">
        <f>SUM(B67:H67)</f>
        <v>18</v>
      </c>
      <c r="J67" s="145"/>
      <c r="K67" s="145"/>
    </row>
    <row r="68" spans="1:16" s="6" customFormat="1" x14ac:dyDescent="0.2">
      <c r="A68" s="158" t="s">
        <v>1276</v>
      </c>
      <c r="B68" s="146">
        <v>0</v>
      </c>
      <c r="C68" s="146">
        <v>0</v>
      </c>
      <c r="D68" s="146">
        <v>0</v>
      </c>
      <c r="E68" s="146">
        <v>0</v>
      </c>
      <c r="F68" s="146">
        <v>0</v>
      </c>
      <c r="G68" s="146">
        <v>0</v>
      </c>
      <c r="H68" s="146"/>
      <c r="I68" s="151">
        <f>SUM(B68:H68)</f>
        <v>0</v>
      </c>
      <c r="J68" s="145"/>
      <c r="K68" s="145"/>
    </row>
    <row r="69" spans="1:16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6" x14ac:dyDescent="0.2">
      <c r="A70" s="279" t="s">
        <v>143</v>
      </c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38"/>
      <c r="O70" s="38"/>
      <c r="P70" s="38"/>
    </row>
    <row r="71" spans="1:16" ht="43.15" customHeight="1" x14ac:dyDescent="0.2">
      <c r="A71" s="280" t="s">
        <v>34</v>
      </c>
      <c r="B71" s="5" t="s">
        <v>144</v>
      </c>
      <c r="C71" s="5" t="s">
        <v>145</v>
      </c>
      <c r="D71" s="5" t="s">
        <v>146</v>
      </c>
      <c r="E71" s="5" t="s">
        <v>662</v>
      </c>
      <c r="F71" s="5" t="s">
        <v>148</v>
      </c>
      <c r="G71" s="5" t="s">
        <v>149</v>
      </c>
      <c r="H71" s="5" t="s">
        <v>150</v>
      </c>
      <c r="I71" s="5" t="s">
        <v>151</v>
      </c>
      <c r="J71" s="5" t="s">
        <v>152</v>
      </c>
      <c r="K71" s="5" t="s">
        <v>663</v>
      </c>
      <c r="L71" s="5"/>
      <c r="M71" s="282" t="s">
        <v>8</v>
      </c>
    </row>
    <row r="72" spans="1:16" x14ac:dyDescent="0.2">
      <c r="A72" s="280"/>
      <c r="B72" s="15" t="s">
        <v>153</v>
      </c>
      <c r="C72" s="15" t="s">
        <v>153</v>
      </c>
      <c r="D72" s="15" t="s">
        <v>154</v>
      </c>
      <c r="E72" s="15" t="s">
        <v>155</v>
      </c>
      <c r="F72" s="15" t="s">
        <v>156</v>
      </c>
      <c r="G72" s="15" t="s">
        <v>156</v>
      </c>
      <c r="H72" s="15" t="s">
        <v>45</v>
      </c>
      <c r="I72" s="15" t="s">
        <v>157</v>
      </c>
      <c r="J72" s="15" t="s">
        <v>157</v>
      </c>
      <c r="K72" s="15" t="s">
        <v>106</v>
      </c>
      <c r="L72" s="15"/>
      <c r="M72" s="282"/>
    </row>
    <row r="73" spans="1:16" x14ac:dyDescent="0.2">
      <c r="A73" s="379">
        <v>46174</v>
      </c>
      <c r="B73" s="61"/>
      <c r="C73" s="61"/>
      <c r="D73" s="61"/>
      <c r="E73" s="61"/>
      <c r="F73" s="61"/>
      <c r="G73" s="61"/>
      <c r="H73" s="61"/>
      <c r="I73" s="61"/>
      <c r="J73" s="53"/>
      <c r="K73" s="66"/>
      <c r="L73" s="66"/>
      <c r="M73" s="323" t="s">
        <v>2129</v>
      </c>
    </row>
    <row r="74" spans="1:16" x14ac:dyDescent="0.2">
      <c r="A74" s="379"/>
      <c r="B74" s="4"/>
      <c r="C74" s="4"/>
      <c r="D74" s="4"/>
      <c r="E74" s="4"/>
      <c r="F74" s="4"/>
      <c r="G74" s="4"/>
      <c r="H74" s="4"/>
      <c r="I74" s="4"/>
      <c r="J74" s="235"/>
      <c r="K74" s="78"/>
      <c r="L74" s="78"/>
      <c r="M74" s="324"/>
    </row>
    <row r="75" spans="1:16" ht="45" customHeight="1" x14ac:dyDescent="0.2">
      <c r="A75" s="379"/>
      <c r="B75" s="9"/>
      <c r="C75" s="9"/>
      <c r="D75" s="9"/>
      <c r="E75" s="9"/>
      <c r="F75" s="9"/>
      <c r="G75" s="9"/>
      <c r="H75" s="9"/>
      <c r="I75" s="9"/>
      <c r="J75" s="7"/>
      <c r="K75" s="9"/>
      <c r="L75" s="9"/>
      <c r="M75" s="325"/>
    </row>
    <row r="76" spans="1:16" x14ac:dyDescent="0.2">
      <c r="A76" s="276">
        <v>46175</v>
      </c>
      <c r="B76" s="61"/>
      <c r="C76" s="61"/>
      <c r="D76" s="61"/>
      <c r="E76" s="61"/>
      <c r="F76" s="61"/>
      <c r="G76" s="61"/>
      <c r="H76" s="61"/>
      <c r="I76" s="61"/>
      <c r="J76" s="53"/>
      <c r="K76" s="66"/>
      <c r="L76" s="66"/>
      <c r="M76" s="323" t="s">
        <v>2130</v>
      </c>
    </row>
    <row r="77" spans="1:16" x14ac:dyDescent="0.2">
      <c r="A77" s="276"/>
      <c r="B77" s="4"/>
      <c r="C77" s="4"/>
      <c r="D77" s="4"/>
      <c r="E77" s="4"/>
      <c r="F77" s="4"/>
      <c r="G77" s="4"/>
      <c r="H77" s="4"/>
      <c r="I77" s="4"/>
      <c r="J77" s="235"/>
      <c r="K77" s="78"/>
      <c r="L77" s="78"/>
      <c r="M77" s="324"/>
    </row>
    <row r="78" spans="1:16" ht="45" customHeight="1" x14ac:dyDescent="0.2">
      <c r="A78" s="276"/>
      <c r="B78" s="9"/>
      <c r="C78" s="9"/>
      <c r="D78" s="9"/>
      <c r="E78" s="9"/>
      <c r="F78" s="9"/>
      <c r="G78" s="9"/>
      <c r="H78" s="9"/>
      <c r="I78" s="9"/>
      <c r="J78" s="7"/>
      <c r="K78" s="9"/>
      <c r="L78" s="9"/>
      <c r="M78" s="325"/>
    </row>
    <row r="79" spans="1:16" x14ac:dyDescent="0.2">
      <c r="A79" s="276">
        <v>46176</v>
      </c>
      <c r="B79" s="61" t="s">
        <v>2203</v>
      </c>
      <c r="C79" s="61" t="s">
        <v>193</v>
      </c>
      <c r="D79" s="61" t="s">
        <v>2204</v>
      </c>
      <c r="E79" s="61" t="s">
        <v>2205</v>
      </c>
      <c r="F79" s="61" t="s">
        <v>2206</v>
      </c>
      <c r="G79" s="61" t="s">
        <v>2207</v>
      </c>
      <c r="H79" s="17" t="s">
        <v>2208</v>
      </c>
      <c r="I79" s="61"/>
      <c r="J79" s="53"/>
      <c r="K79" s="66"/>
      <c r="L79" s="66"/>
      <c r="M79" s="404" t="s">
        <v>1934</v>
      </c>
    </row>
    <row r="80" spans="1:16" x14ac:dyDescent="0.2">
      <c r="A80" s="276"/>
      <c r="B80" s="4"/>
      <c r="C80" s="4"/>
      <c r="D80" s="4"/>
      <c r="E80" s="4"/>
      <c r="F80" s="4"/>
      <c r="G80" s="4"/>
      <c r="H80" s="241"/>
      <c r="I80" s="4"/>
      <c r="J80" s="235"/>
      <c r="K80" s="78"/>
      <c r="L80" s="78"/>
      <c r="M80" s="410"/>
    </row>
    <row r="81" spans="1:13" ht="45" customHeight="1" x14ac:dyDescent="0.2">
      <c r="A81" s="276"/>
      <c r="B81" s="9">
        <v>8260100676</v>
      </c>
      <c r="C81" s="9" t="s">
        <v>2131</v>
      </c>
      <c r="D81" s="9">
        <v>8260100687</v>
      </c>
      <c r="E81" s="9">
        <v>8260100672</v>
      </c>
      <c r="F81" s="9">
        <v>8260100690</v>
      </c>
      <c r="G81" s="9">
        <v>8260100694</v>
      </c>
      <c r="H81" s="9">
        <v>8260100664</v>
      </c>
      <c r="I81" s="9"/>
      <c r="J81" s="7"/>
      <c r="K81" s="9"/>
      <c r="L81" s="9"/>
      <c r="M81" s="405"/>
    </row>
    <row r="82" spans="1:13" x14ac:dyDescent="0.2">
      <c r="A82" s="276">
        <v>46177</v>
      </c>
      <c r="B82" s="17" t="s">
        <v>2215</v>
      </c>
      <c r="C82" s="61" t="s">
        <v>2216</v>
      </c>
      <c r="D82" s="61" t="s">
        <v>2217</v>
      </c>
      <c r="E82" s="61" t="s">
        <v>1290</v>
      </c>
      <c r="F82" s="17" t="s">
        <v>2218</v>
      </c>
      <c r="G82" s="61" t="s">
        <v>2219</v>
      </c>
      <c r="H82" s="61" t="s">
        <v>2220</v>
      </c>
      <c r="I82" s="61"/>
      <c r="J82" s="53" t="s">
        <v>1291</v>
      </c>
      <c r="K82" s="66"/>
      <c r="L82" s="66"/>
      <c r="M82" s="320" t="s">
        <v>2267</v>
      </c>
    </row>
    <row r="83" spans="1:13" x14ac:dyDescent="0.2">
      <c r="A83" s="276"/>
      <c r="B83" s="241"/>
      <c r="C83" s="4"/>
      <c r="D83" s="4"/>
      <c r="E83" s="4"/>
      <c r="F83" s="241"/>
      <c r="G83" s="4"/>
      <c r="H83" s="4"/>
      <c r="I83" s="4"/>
      <c r="J83" s="235"/>
      <c r="K83" s="78"/>
      <c r="L83" s="78"/>
      <c r="M83" s="321"/>
    </row>
    <row r="84" spans="1:13" ht="45" customHeight="1" x14ac:dyDescent="0.2">
      <c r="A84" s="276"/>
      <c r="B84" s="121">
        <v>8260100751</v>
      </c>
      <c r="C84" s="9" t="s">
        <v>2162</v>
      </c>
      <c r="D84" s="9">
        <v>8260100750</v>
      </c>
      <c r="E84" s="9">
        <v>8260100755</v>
      </c>
      <c r="F84" s="9">
        <v>8260100741</v>
      </c>
      <c r="G84" s="9">
        <v>8260100746</v>
      </c>
      <c r="H84" s="9">
        <v>8260100744</v>
      </c>
      <c r="I84" s="9"/>
      <c r="J84" s="7">
        <v>8260100721</v>
      </c>
      <c r="K84" s="9"/>
      <c r="L84" s="9"/>
      <c r="M84" s="322"/>
    </row>
    <row r="85" spans="1:13" x14ac:dyDescent="0.2">
      <c r="A85" s="276">
        <v>46178</v>
      </c>
      <c r="B85" s="61" t="s">
        <v>2229</v>
      </c>
      <c r="C85" s="61" t="s">
        <v>2230</v>
      </c>
      <c r="D85" s="61" t="s">
        <v>1303</v>
      </c>
      <c r="E85" s="61" t="s">
        <v>2231</v>
      </c>
      <c r="F85" s="61" t="s">
        <v>2228</v>
      </c>
      <c r="G85" s="61" t="s">
        <v>2232</v>
      </c>
      <c r="H85" s="61" t="s">
        <v>1332</v>
      </c>
      <c r="I85" s="61"/>
      <c r="J85" s="53"/>
      <c r="K85" s="66"/>
      <c r="L85" s="66"/>
      <c r="M85" s="323"/>
    </row>
    <row r="86" spans="1:13" x14ac:dyDescent="0.2">
      <c r="A86" s="276"/>
      <c r="B86" s="4"/>
      <c r="C86" s="4"/>
      <c r="D86" s="4"/>
      <c r="E86" s="4"/>
      <c r="F86" s="4"/>
      <c r="G86" s="4"/>
      <c r="H86" s="4"/>
      <c r="I86" s="4"/>
      <c r="J86" s="235"/>
      <c r="K86" s="78"/>
      <c r="L86" s="78"/>
      <c r="M86" s="324"/>
    </row>
    <row r="87" spans="1:13" ht="45" customHeight="1" x14ac:dyDescent="0.2">
      <c r="A87" s="276"/>
      <c r="B87" s="9">
        <v>8260100830</v>
      </c>
      <c r="C87" s="9" t="s">
        <v>2198</v>
      </c>
      <c r="D87" s="9">
        <v>8260100803</v>
      </c>
      <c r="E87" s="9">
        <v>8260100817</v>
      </c>
      <c r="F87" s="9">
        <v>8260100827</v>
      </c>
      <c r="G87" s="9">
        <v>8260100834</v>
      </c>
      <c r="H87" s="9">
        <v>8260100833</v>
      </c>
      <c r="I87" s="9"/>
      <c r="J87" s="7"/>
      <c r="K87" s="9"/>
      <c r="L87" s="9"/>
      <c r="M87" s="325"/>
    </row>
    <row r="88" spans="1:13" x14ac:dyDescent="0.2">
      <c r="A88" s="157" t="s">
        <v>1274</v>
      </c>
      <c r="B88" s="143">
        <f>B89+B90</f>
        <v>3</v>
      </c>
      <c r="C88" s="143">
        <f t="shared" ref="C88:K88" si="3">C89+C90</f>
        <v>3</v>
      </c>
      <c r="D88" s="143">
        <f t="shared" si="3"/>
        <v>3</v>
      </c>
      <c r="E88" s="143">
        <f t="shared" si="3"/>
        <v>3</v>
      </c>
      <c r="F88" s="143">
        <f t="shared" si="3"/>
        <v>3</v>
      </c>
      <c r="G88" s="143">
        <f t="shared" si="3"/>
        <v>3</v>
      </c>
      <c r="H88" s="143">
        <f t="shared" si="3"/>
        <v>3</v>
      </c>
      <c r="I88" s="143">
        <f t="shared" si="3"/>
        <v>0</v>
      </c>
      <c r="J88" s="143">
        <f t="shared" si="3"/>
        <v>1</v>
      </c>
      <c r="K88" s="143">
        <f t="shared" si="3"/>
        <v>0</v>
      </c>
      <c r="L88" s="143"/>
      <c r="M88" s="149">
        <f>SUM(B88:L88)</f>
        <v>22</v>
      </c>
    </row>
    <row r="89" spans="1:13" x14ac:dyDescent="0.2">
      <c r="A89" s="157" t="s">
        <v>1275</v>
      </c>
      <c r="B89" s="143">
        <v>2</v>
      </c>
      <c r="C89" s="143">
        <v>3</v>
      </c>
      <c r="D89" s="143">
        <v>3</v>
      </c>
      <c r="E89" s="143">
        <v>3</v>
      </c>
      <c r="F89" s="143">
        <v>2</v>
      </c>
      <c r="G89" s="143">
        <v>3</v>
      </c>
      <c r="H89" s="143">
        <v>2</v>
      </c>
      <c r="I89" s="143">
        <v>0</v>
      </c>
      <c r="J89" s="143">
        <v>1</v>
      </c>
      <c r="K89" s="143">
        <v>0</v>
      </c>
      <c r="L89" s="143"/>
      <c r="M89" s="149">
        <f>SUM(B89:L89)</f>
        <v>19</v>
      </c>
    </row>
    <row r="90" spans="1:13" x14ac:dyDescent="0.2">
      <c r="A90" s="158" t="s">
        <v>1276</v>
      </c>
      <c r="B90" s="146">
        <v>1</v>
      </c>
      <c r="C90" s="146">
        <v>0</v>
      </c>
      <c r="D90" s="146">
        <v>0</v>
      </c>
      <c r="E90" s="146">
        <v>0</v>
      </c>
      <c r="F90" s="146">
        <v>1</v>
      </c>
      <c r="G90" s="146">
        <v>0</v>
      </c>
      <c r="H90" s="146">
        <v>1</v>
      </c>
      <c r="I90" s="146">
        <v>0</v>
      </c>
      <c r="J90" s="146">
        <v>0</v>
      </c>
      <c r="K90" s="146">
        <v>0</v>
      </c>
      <c r="L90" s="146"/>
      <c r="M90" s="150">
        <f>SUM(B90:L90)</f>
        <v>3</v>
      </c>
    </row>
    <row r="92" spans="1:13" ht="28.9" customHeight="1" x14ac:dyDescent="0.2">
      <c r="A92" s="280" t="s">
        <v>34</v>
      </c>
      <c r="B92" s="5" t="s">
        <v>196</v>
      </c>
      <c r="C92" s="5" t="s">
        <v>472</v>
      </c>
      <c r="D92" s="5" t="s">
        <v>198</v>
      </c>
      <c r="E92" s="5" t="s">
        <v>199</v>
      </c>
      <c r="F92" s="5" t="s">
        <v>200</v>
      </c>
      <c r="G92" s="5" t="s">
        <v>201</v>
      </c>
      <c r="H92" s="5" t="s">
        <v>202</v>
      </c>
      <c r="I92" s="5" t="s">
        <v>203</v>
      </c>
      <c r="J92" s="5" t="s">
        <v>204</v>
      </c>
      <c r="K92" s="5" t="s">
        <v>1149</v>
      </c>
      <c r="L92" s="5"/>
      <c r="M92" s="104" t="s">
        <v>8</v>
      </c>
    </row>
    <row r="93" spans="1:13" x14ac:dyDescent="0.2">
      <c r="A93" s="280"/>
      <c r="B93" s="15" t="s">
        <v>153</v>
      </c>
      <c r="C93" s="15" t="s">
        <v>205</v>
      </c>
      <c r="D93" s="15" t="s">
        <v>206</v>
      </c>
      <c r="E93" s="15" t="s">
        <v>207</v>
      </c>
      <c r="F93" s="15" t="s">
        <v>208</v>
      </c>
      <c r="G93" s="15" t="s">
        <v>207</v>
      </c>
      <c r="H93" s="15" t="s">
        <v>103</v>
      </c>
      <c r="I93" s="15" t="s">
        <v>208</v>
      </c>
      <c r="J93" s="15" t="s">
        <v>209</v>
      </c>
      <c r="K93" s="15" t="s">
        <v>1150</v>
      </c>
      <c r="L93" s="15"/>
      <c r="M93" s="104"/>
    </row>
    <row r="94" spans="1:13" x14ac:dyDescent="0.2">
      <c r="A94" s="379">
        <v>46174</v>
      </c>
      <c r="B94" s="61"/>
      <c r="C94" s="61"/>
      <c r="D94" s="61"/>
      <c r="E94" s="61"/>
      <c r="F94" s="61"/>
      <c r="G94" s="61"/>
      <c r="H94" s="61"/>
      <c r="I94" s="61"/>
      <c r="J94" s="66"/>
      <c r="K94" s="66"/>
      <c r="L94" s="66"/>
      <c r="M94" s="320" t="s">
        <v>2129</v>
      </c>
    </row>
    <row r="95" spans="1:13" x14ac:dyDescent="0.2">
      <c r="A95" s="379"/>
      <c r="B95" s="4"/>
      <c r="C95" s="4"/>
      <c r="D95" s="4"/>
      <c r="E95" s="4"/>
      <c r="F95" s="4"/>
      <c r="G95" s="4"/>
      <c r="H95" s="4"/>
      <c r="I95" s="4"/>
      <c r="J95" s="78"/>
      <c r="K95" s="78"/>
      <c r="L95" s="78"/>
      <c r="M95" s="321"/>
    </row>
    <row r="96" spans="1:13" ht="45" customHeight="1" x14ac:dyDescent="0.2">
      <c r="A96" s="37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322"/>
    </row>
    <row r="97" spans="1:13" x14ac:dyDescent="0.2">
      <c r="A97" s="276">
        <v>46175</v>
      </c>
      <c r="B97" s="61"/>
      <c r="C97" s="61"/>
      <c r="D97" s="61"/>
      <c r="E97" s="61"/>
      <c r="F97" s="61"/>
      <c r="G97" s="61"/>
      <c r="H97" s="61"/>
      <c r="I97" s="61"/>
      <c r="J97" s="53"/>
      <c r="K97" s="66"/>
      <c r="L97" s="66"/>
      <c r="M97" s="320" t="s">
        <v>2130</v>
      </c>
    </row>
    <row r="98" spans="1:13" x14ac:dyDescent="0.2">
      <c r="A98" s="276"/>
      <c r="B98" s="4"/>
      <c r="C98" s="4"/>
      <c r="D98" s="4"/>
      <c r="E98" s="4"/>
      <c r="F98" s="4"/>
      <c r="G98" s="4"/>
      <c r="H98" s="4"/>
      <c r="I98" s="4"/>
      <c r="J98" s="235"/>
      <c r="K98" s="78"/>
      <c r="L98" s="78"/>
      <c r="M98" s="321"/>
    </row>
    <row r="99" spans="1:13" ht="45" customHeight="1" x14ac:dyDescent="0.2">
      <c r="A99" s="276"/>
      <c r="B99" s="9"/>
      <c r="C99" s="9"/>
      <c r="D99" s="9"/>
      <c r="E99" s="9"/>
      <c r="F99" s="9"/>
      <c r="G99" s="9"/>
      <c r="H99" s="9"/>
      <c r="I99" s="9"/>
      <c r="J99" s="7"/>
      <c r="K99" s="9"/>
      <c r="L99" s="9"/>
      <c r="M99" s="322"/>
    </row>
    <row r="100" spans="1:13" x14ac:dyDescent="0.2">
      <c r="A100" s="276">
        <v>46176</v>
      </c>
      <c r="B100" s="61" t="s">
        <v>2209</v>
      </c>
      <c r="C100" s="61" t="s">
        <v>2210</v>
      </c>
      <c r="D100" s="61" t="s">
        <v>299</v>
      </c>
      <c r="E100" s="61" t="s">
        <v>2211</v>
      </c>
      <c r="F100" s="61" t="s">
        <v>2212</v>
      </c>
      <c r="G100" s="61" t="s">
        <v>2213</v>
      </c>
      <c r="H100" s="61" t="s">
        <v>139</v>
      </c>
      <c r="I100" s="61" t="s">
        <v>2206</v>
      </c>
      <c r="J100" s="53"/>
      <c r="K100" s="66"/>
      <c r="L100" s="66"/>
      <c r="M100" s="326"/>
    </row>
    <row r="101" spans="1:13" x14ac:dyDescent="0.2">
      <c r="A101" s="276"/>
      <c r="B101" s="4"/>
      <c r="C101" s="4"/>
      <c r="D101" s="4"/>
      <c r="E101" s="4"/>
      <c r="F101" s="4"/>
      <c r="G101" s="4"/>
      <c r="H101" s="4"/>
      <c r="I101" s="4"/>
      <c r="J101" s="235"/>
      <c r="K101" s="78"/>
      <c r="L101" s="78"/>
      <c r="M101" s="327"/>
    </row>
    <row r="102" spans="1:13" ht="45" customHeight="1" x14ac:dyDescent="0.2">
      <c r="A102" s="276"/>
      <c r="B102" s="9">
        <v>8260100674</v>
      </c>
      <c r="C102" s="9">
        <v>8260100665</v>
      </c>
      <c r="D102" s="9">
        <v>8260100697</v>
      </c>
      <c r="E102" s="9">
        <v>8260100670</v>
      </c>
      <c r="F102" s="9">
        <v>8260100689</v>
      </c>
      <c r="G102" s="9">
        <v>8260100695</v>
      </c>
      <c r="H102" s="9">
        <v>8260100693</v>
      </c>
      <c r="I102" s="9" t="s">
        <v>2132</v>
      </c>
      <c r="J102" s="7"/>
      <c r="K102" s="9"/>
      <c r="L102" s="9"/>
      <c r="M102" s="328"/>
    </row>
    <row r="103" spans="1:13" x14ac:dyDescent="0.2">
      <c r="A103" s="276">
        <v>46177</v>
      </c>
      <c r="B103" s="61" t="s">
        <v>2221</v>
      </c>
      <c r="C103" s="61"/>
      <c r="D103" s="61" t="s">
        <v>2222</v>
      </c>
      <c r="E103" s="61" t="s">
        <v>2223</v>
      </c>
      <c r="F103" s="61" t="s">
        <v>2224</v>
      </c>
      <c r="G103" s="61" t="s">
        <v>2225</v>
      </c>
      <c r="H103" s="61" t="s">
        <v>1370</v>
      </c>
      <c r="I103" s="61" t="s">
        <v>2226</v>
      </c>
      <c r="J103" s="53"/>
      <c r="K103" s="66"/>
      <c r="L103" s="66"/>
      <c r="M103" s="326"/>
    </row>
    <row r="104" spans="1:13" x14ac:dyDescent="0.2">
      <c r="A104" s="276"/>
      <c r="B104" s="4"/>
      <c r="C104" s="4"/>
      <c r="D104" s="4"/>
      <c r="E104" s="4"/>
      <c r="F104" s="4"/>
      <c r="G104" s="4"/>
      <c r="H104" s="4"/>
      <c r="I104" s="4"/>
      <c r="J104" s="235"/>
      <c r="K104" s="78"/>
      <c r="L104" s="78"/>
      <c r="M104" s="327"/>
    </row>
    <row r="105" spans="1:13" ht="45" customHeight="1" x14ac:dyDescent="0.2">
      <c r="A105" s="276"/>
      <c r="B105" s="9">
        <v>8260100740</v>
      </c>
      <c r="C105" s="9"/>
      <c r="D105" s="9">
        <v>8260100762</v>
      </c>
      <c r="E105" s="9">
        <v>8260100756</v>
      </c>
      <c r="F105" s="9">
        <v>8260100765</v>
      </c>
      <c r="G105" s="9">
        <v>8260100739</v>
      </c>
      <c r="H105" s="9">
        <v>8260100767</v>
      </c>
      <c r="I105" s="9" t="s">
        <v>2163</v>
      </c>
      <c r="J105" s="7"/>
      <c r="K105" s="9"/>
      <c r="L105" s="9"/>
      <c r="M105" s="328"/>
    </row>
    <row r="106" spans="1:13" x14ac:dyDescent="0.2">
      <c r="A106" s="276">
        <v>46178</v>
      </c>
      <c r="B106" s="61" t="s">
        <v>2233</v>
      </c>
      <c r="C106" s="61" t="s">
        <v>2234</v>
      </c>
      <c r="D106" s="61" t="s">
        <v>2235</v>
      </c>
      <c r="E106" s="61" t="s">
        <v>2236</v>
      </c>
      <c r="F106" s="61" t="s">
        <v>2237</v>
      </c>
      <c r="G106" s="61" t="s">
        <v>2238</v>
      </c>
      <c r="H106" s="61" t="s">
        <v>2239</v>
      </c>
      <c r="I106" s="61" t="s">
        <v>2257</v>
      </c>
      <c r="J106" s="53"/>
      <c r="K106" s="66"/>
      <c r="L106" s="66"/>
      <c r="M106" s="326"/>
    </row>
    <row r="107" spans="1:13" x14ac:dyDescent="0.2">
      <c r="A107" s="276"/>
      <c r="B107" s="4"/>
      <c r="C107" s="4"/>
      <c r="D107" s="4"/>
      <c r="E107" s="4"/>
      <c r="F107" s="4"/>
      <c r="G107" s="4"/>
      <c r="H107" s="4"/>
      <c r="I107" s="4"/>
      <c r="J107" s="235"/>
      <c r="K107" s="78"/>
      <c r="L107" s="78"/>
      <c r="M107" s="327"/>
    </row>
    <row r="108" spans="1:13" ht="45" customHeight="1" x14ac:dyDescent="0.2">
      <c r="A108" s="276"/>
      <c r="B108" s="9">
        <v>8260100818</v>
      </c>
      <c r="C108" s="9">
        <v>8260100802</v>
      </c>
      <c r="D108" s="9">
        <v>8260100813</v>
      </c>
      <c r="E108" s="9">
        <v>8260100808</v>
      </c>
      <c r="F108" s="9">
        <v>8260100831</v>
      </c>
      <c r="G108" s="9">
        <v>8260100832</v>
      </c>
      <c r="H108" s="9">
        <v>8260100820</v>
      </c>
      <c r="I108" s="9" t="s">
        <v>2256</v>
      </c>
      <c r="J108" s="7"/>
      <c r="K108" s="9"/>
      <c r="L108" s="9"/>
      <c r="M108" s="328"/>
    </row>
    <row r="109" spans="1:13" x14ac:dyDescent="0.2">
      <c r="A109" s="157" t="s">
        <v>1274</v>
      </c>
      <c r="B109" s="143">
        <f>B110+B111</f>
        <v>3</v>
      </c>
      <c r="C109" s="143">
        <f t="shared" ref="C109" si="4">C110+C111</f>
        <v>2</v>
      </c>
      <c r="D109" s="143">
        <f t="shared" ref="D109" si="5">D110+D111</f>
        <v>3</v>
      </c>
      <c r="E109" s="143">
        <f t="shared" ref="E109" si="6">E110+E111</f>
        <v>3</v>
      </c>
      <c r="F109" s="143">
        <f t="shared" ref="F109" si="7">F110+F111</f>
        <v>3</v>
      </c>
      <c r="G109" s="143">
        <f t="shared" ref="G109" si="8">G110+G111</f>
        <v>3</v>
      </c>
      <c r="H109" s="143">
        <f t="shared" ref="H109" si="9">H110+H111</f>
        <v>3</v>
      </c>
      <c r="I109" s="143">
        <f t="shared" ref="I109" si="10">I110+I111</f>
        <v>3</v>
      </c>
      <c r="J109" s="143">
        <f t="shared" ref="J109" si="11">J110+J111</f>
        <v>0</v>
      </c>
      <c r="K109" s="143">
        <f t="shared" ref="K109" si="12">K110+K111</f>
        <v>0</v>
      </c>
      <c r="L109" s="143"/>
      <c r="M109" s="113">
        <f>SUM(B109:L109)</f>
        <v>23</v>
      </c>
    </row>
    <row r="110" spans="1:13" x14ac:dyDescent="0.2">
      <c r="A110" s="157" t="s">
        <v>1275</v>
      </c>
      <c r="B110" s="143">
        <v>3</v>
      </c>
      <c r="C110" s="143">
        <v>2</v>
      </c>
      <c r="D110" s="143">
        <v>3</v>
      </c>
      <c r="E110" s="143">
        <v>3</v>
      </c>
      <c r="F110" s="143">
        <v>3</v>
      </c>
      <c r="G110" s="143">
        <v>3</v>
      </c>
      <c r="H110" s="143">
        <v>3</v>
      </c>
      <c r="I110" s="143">
        <v>3</v>
      </c>
      <c r="J110" s="143">
        <v>0</v>
      </c>
      <c r="K110" s="143">
        <v>0</v>
      </c>
      <c r="L110" s="143"/>
      <c r="M110" s="113">
        <f>SUM(B110:L110)</f>
        <v>23</v>
      </c>
    </row>
    <row r="111" spans="1:13" x14ac:dyDescent="0.2">
      <c r="A111" s="158" t="s">
        <v>1276</v>
      </c>
      <c r="B111" s="146">
        <v>0</v>
      </c>
      <c r="C111" s="146">
        <v>0</v>
      </c>
      <c r="D111" s="146">
        <v>0</v>
      </c>
      <c r="E111" s="146">
        <v>0</v>
      </c>
      <c r="F111" s="146">
        <v>0</v>
      </c>
      <c r="G111" s="146">
        <v>0</v>
      </c>
      <c r="H111" s="146">
        <v>0</v>
      </c>
      <c r="I111" s="146">
        <v>0</v>
      </c>
      <c r="J111" s="146">
        <v>0</v>
      </c>
      <c r="K111" s="146">
        <v>0</v>
      </c>
      <c r="L111" s="146"/>
      <c r="M111" s="151">
        <f>SUM(B111:L111)</f>
        <v>0</v>
      </c>
    </row>
    <row r="113" spans="1:15" x14ac:dyDescent="0.2">
      <c r="A113" s="279" t="s">
        <v>252</v>
      </c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38"/>
      <c r="O113" s="38"/>
    </row>
    <row r="114" spans="1:15" ht="27.75" x14ac:dyDescent="0.2">
      <c r="A114" s="329" t="s">
        <v>34</v>
      </c>
      <c r="B114" s="82" t="s">
        <v>253</v>
      </c>
      <c r="C114" s="82" t="s">
        <v>254</v>
      </c>
      <c r="D114" s="82" t="s">
        <v>255</v>
      </c>
      <c r="E114" s="82" t="s">
        <v>256</v>
      </c>
      <c r="F114" s="82" t="s">
        <v>257</v>
      </c>
      <c r="G114" s="82" t="s">
        <v>258</v>
      </c>
      <c r="H114" s="82" t="s">
        <v>259</v>
      </c>
      <c r="I114" s="82" t="s">
        <v>260</v>
      </c>
      <c r="J114" s="82"/>
      <c r="K114" s="330" t="s">
        <v>8</v>
      </c>
      <c r="L114" s="330"/>
      <c r="M114" s="330"/>
    </row>
    <row r="115" spans="1:15" x14ac:dyDescent="0.2">
      <c r="A115" s="280"/>
      <c r="B115" s="15" t="s">
        <v>154</v>
      </c>
      <c r="C115" s="15" t="s">
        <v>261</v>
      </c>
      <c r="D115" s="15" t="s">
        <v>262</v>
      </c>
      <c r="E115" s="15" t="s">
        <v>42</v>
      </c>
      <c r="F115" s="15" t="s">
        <v>263</v>
      </c>
      <c r="G115" s="15" t="s">
        <v>264</v>
      </c>
      <c r="H115" s="15" t="s">
        <v>265</v>
      </c>
      <c r="I115" s="15" t="s">
        <v>263</v>
      </c>
      <c r="J115" s="15"/>
      <c r="K115" s="282"/>
      <c r="L115" s="282"/>
      <c r="M115" s="282"/>
    </row>
    <row r="116" spans="1:15" x14ac:dyDescent="0.2">
      <c r="A116" s="379">
        <v>46174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319" t="s">
        <v>2129</v>
      </c>
      <c r="L116" s="319"/>
      <c r="M116" s="319"/>
    </row>
    <row r="117" spans="1:15" x14ac:dyDescent="0.2">
      <c r="A117" s="379"/>
      <c r="B117" s="4"/>
      <c r="C117" s="4"/>
      <c r="D117" s="4"/>
      <c r="E117" s="4"/>
      <c r="F117" s="4"/>
      <c r="G117" s="4"/>
      <c r="H117" s="4"/>
      <c r="I117" s="4"/>
      <c r="J117" s="4"/>
      <c r="K117" s="319"/>
      <c r="L117" s="319"/>
      <c r="M117" s="319"/>
    </row>
    <row r="118" spans="1:15" ht="45" customHeight="1" x14ac:dyDescent="0.2">
      <c r="A118" s="379"/>
      <c r="B118" s="9"/>
      <c r="C118" s="9"/>
      <c r="D118" s="9"/>
      <c r="E118" s="9"/>
      <c r="F118" s="9"/>
      <c r="G118" s="9"/>
      <c r="H118" s="9"/>
      <c r="I118" s="9"/>
      <c r="J118" s="9"/>
      <c r="K118" s="319"/>
      <c r="L118" s="319"/>
      <c r="M118" s="319"/>
    </row>
    <row r="119" spans="1:15" x14ac:dyDescent="0.2">
      <c r="A119" s="276">
        <v>46175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319" t="s">
        <v>2130</v>
      </c>
      <c r="L119" s="319"/>
      <c r="M119" s="319"/>
    </row>
    <row r="120" spans="1:15" x14ac:dyDescent="0.2">
      <c r="A120" s="276"/>
      <c r="B120" s="4"/>
      <c r="C120" s="4"/>
      <c r="D120" s="4"/>
      <c r="E120" s="4"/>
      <c r="F120" s="4"/>
      <c r="G120" s="4"/>
      <c r="H120" s="4"/>
      <c r="I120" s="4"/>
      <c r="J120" s="4"/>
      <c r="K120" s="319"/>
      <c r="L120" s="319"/>
      <c r="M120" s="319"/>
    </row>
    <row r="121" spans="1:15" ht="45" customHeight="1" x14ac:dyDescent="0.2">
      <c r="A121" s="276"/>
      <c r="B121" s="9"/>
      <c r="C121" s="9"/>
      <c r="D121" s="9"/>
      <c r="E121" s="9"/>
      <c r="F121" s="9"/>
      <c r="G121" s="9"/>
      <c r="H121" s="9"/>
      <c r="I121" s="9"/>
      <c r="J121" s="9"/>
      <c r="K121" s="319"/>
      <c r="L121" s="319"/>
      <c r="M121" s="319"/>
    </row>
    <row r="122" spans="1:15" x14ac:dyDescent="0.2">
      <c r="A122" s="276">
        <v>46176</v>
      </c>
      <c r="B122" s="61" t="s">
        <v>2186</v>
      </c>
      <c r="C122" s="61" t="s">
        <v>2190</v>
      </c>
      <c r="D122" s="61" t="s">
        <v>2185</v>
      </c>
      <c r="E122" s="61" t="s">
        <v>2185</v>
      </c>
      <c r="F122" s="61" t="s">
        <v>2189</v>
      </c>
      <c r="G122" s="61" t="s">
        <v>2188</v>
      </c>
      <c r="H122" s="61" t="s">
        <v>296</v>
      </c>
      <c r="I122" s="61"/>
      <c r="J122" s="61"/>
      <c r="K122" s="331"/>
      <c r="L122" s="331"/>
      <c r="M122" s="331"/>
    </row>
    <row r="123" spans="1:15" x14ac:dyDescent="0.2">
      <c r="A123" s="276"/>
      <c r="B123" s="4"/>
      <c r="C123" s="4"/>
      <c r="D123" s="4"/>
      <c r="E123" s="4"/>
      <c r="F123" s="4"/>
      <c r="G123" s="4"/>
      <c r="H123" s="4"/>
      <c r="I123" s="4"/>
      <c r="J123" s="4"/>
      <c r="K123" s="331"/>
      <c r="L123" s="331"/>
      <c r="M123" s="331"/>
    </row>
    <row r="124" spans="1:15" ht="45" customHeight="1" x14ac:dyDescent="0.2">
      <c r="A124" s="276"/>
      <c r="B124" s="9" t="s">
        <v>2187</v>
      </c>
      <c r="C124" s="9">
        <v>8260100698</v>
      </c>
      <c r="D124" s="9">
        <v>8260100688</v>
      </c>
      <c r="E124" s="9">
        <v>8260100666</v>
      </c>
      <c r="F124" s="9">
        <v>8260100686</v>
      </c>
      <c r="G124" s="9">
        <v>8260100684</v>
      </c>
      <c r="H124" s="9">
        <v>8260100677</v>
      </c>
      <c r="I124" s="9"/>
      <c r="J124" s="9"/>
      <c r="K124" s="331"/>
      <c r="L124" s="331"/>
      <c r="M124" s="331"/>
    </row>
    <row r="125" spans="1:15" x14ac:dyDescent="0.2">
      <c r="A125" s="276">
        <v>46177</v>
      </c>
      <c r="B125" s="61" t="s">
        <v>2191</v>
      </c>
      <c r="C125" s="61" t="s">
        <v>2196</v>
      </c>
      <c r="D125" s="61" t="s">
        <v>2192</v>
      </c>
      <c r="E125" s="61" t="s">
        <v>2192</v>
      </c>
      <c r="F125" s="61" t="s">
        <v>2195</v>
      </c>
      <c r="G125" s="61" t="s">
        <v>2193</v>
      </c>
      <c r="H125" s="61" t="s">
        <v>2194</v>
      </c>
      <c r="I125" s="61"/>
      <c r="J125" s="61"/>
      <c r="K125" s="331"/>
      <c r="L125" s="331"/>
      <c r="M125" s="331"/>
    </row>
    <row r="126" spans="1:15" x14ac:dyDescent="0.2">
      <c r="A126" s="276"/>
      <c r="B126" s="4"/>
      <c r="C126" s="4"/>
      <c r="D126" s="4"/>
      <c r="E126" s="4"/>
      <c r="F126" s="4"/>
      <c r="G126" s="4"/>
      <c r="H126" s="4"/>
      <c r="I126" s="4"/>
      <c r="J126" s="4"/>
      <c r="K126" s="331"/>
      <c r="L126" s="331"/>
      <c r="M126" s="331"/>
    </row>
    <row r="127" spans="1:15" ht="45" customHeight="1" x14ac:dyDescent="0.2">
      <c r="A127" s="276"/>
      <c r="B127" s="9">
        <v>8260100761</v>
      </c>
      <c r="C127" s="9">
        <v>8260100769</v>
      </c>
      <c r="D127" s="9">
        <v>8260100758</v>
      </c>
      <c r="E127" s="9">
        <v>8260100748</v>
      </c>
      <c r="F127" s="9">
        <v>8260100752</v>
      </c>
      <c r="G127" s="9">
        <v>8260100742</v>
      </c>
      <c r="H127" s="9">
        <v>8260100764</v>
      </c>
      <c r="I127" s="9"/>
      <c r="J127" s="9"/>
      <c r="K127" s="331"/>
      <c r="L127" s="331"/>
      <c r="M127" s="331"/>
    </row>
    <row r="128" spans="1:15" x14ac:dyDescent="0.2">
      <c r="A128" s="276">
        <v>46178</v>
      </c>
      <c r="B128" s="61" t="s">
        <v>2261</v>
      </c>
      <c r="C128" s="61" t="s">
        <v>2265</v>
      </c>
      <c r="D128" s="61" t="s">
        <v>2262</v>
      </c>
      <c r="E128" s="61"/>
      <c r="F128" s="61" t="s">
        <v>2264</v>
      </c>
      <c r="G128" s="61" t="s">
        <v>2263</v>
      </c>
      <c r="H128" s="61" t="s">
        <v>2260</v>
      </c>
      <c r="I128" s="61"/>
      <c r="J128" s="61"/>
      <c r="K128" s="278" t="s">
        <v>783</v>
      </c>
      <c r="L128" s="278"/>
      <c r="M128" s="278"/>
    </row>
    <row r="129" spans="1:13" x14ac:dyDescent="0.2">
      <c r="A129" s="276"/>
      <c r="B129" s="4"/>
      <c r="C129" s="4"/>
      <c r="D129" s="4"/>
      <c r="E129" s="4"/>
      <c r="F129" s="4"/>
      <c r="G129" s="4"/>
      <c r="H129" s="4"/>
      <c r="I129" s="4"/>
      <c r="J129" s="4"/>
      <c r="K129" s="278"/>
      <c r="L129" s="278"/>
      <c r="M129" s="278"/>
    </row>
    <row r="130" spans="1:13" ht="45" customHeight="1" x14ac:dyDescent="0.2">
      <c r="A130" s="276"/>
      <c r="B130" s="9">
        <v>8260100825</v>
      </c>
      <c r="C130" s="9">
        <v>8260100822</v>
      </c>
      <c r="D130" s="9">
        <v>8260100804</v>
      </c>
      <c r="E130" s="9" t="s">
        <v>2197</v>
      </c>
      <c r="F130" s="9">
        <v>8260100823</v>
      </c>
      <c r="G130" s="9">
        <v>8260100824</v>
      </c>
      <c r="H130" s="9">
        <v>8260100821</v>
      </c>
      <c r="I130" s="9"/>
      <c r="J130" s="9"/>
      <c r="K130" s="278"/>
      <c r="L130" s="278"/>
      <c r="M130" s="278"/>
    </row>
    <row r="131" spans="1:13" x14ac:dyDescent="0.2">
      <c r="A131" s="157" t="s">
        <v>1274</v>
      </c>
      <c r="B131" s="143">
        <f>B132+B133</f>
        <v>3</v>
      </c>
      <c r="C131" s="143">
        <f t="shared" ref="C131" si="13">C132+C133</f>
        <v>3</v>
      </c>
      <c r="D131" s="143">
        <f t="shared" ref="D131" si="14">D132+D133</f>
        <v>3</v>
      </c>
      <c r="E131" s="143">
        <f t="shared" ref="E131" si="15">E132+E133</f>
        <v>2</v>
      </c>
      <c r="F131" s="143">
        <f t="shared" ref="F131" si="16">F132+F133</f>
        <v>3</v>
      </c>
      <c r="G131" s="143">
        <f t="shared" ref="G131" si="17">G132+G133</f>
        <v>3</v>
      </c>
      <c r="H131" s="143">
        <f t="shared" ref="H131" si="18">H132+H133</f>
        <v>3</v>
      </c>
      <c r="I131" s="143">
        <f t="shared" ref="I131" si="19">I132+I133</f>
        <v>0</v>
      </c>
      <c r="J131" s="143"/>
      <c r="K131" s="92">
        <f>SUM(B131:J131)</f>
        <v>20</v>
      </c>
    </row>
    <row r="132" spans="1:13" x14ac:dyDescent="0.2">
      <c r="A132" s="157" t="s">
        <v>1275</v>
      </c>
      <c r="B132" s="143">
        <v>3</v>
      </c>
      <c r="C132" s="143">
        <v>3</v>
      </c>
      <c r="D132" s="143">
        <v>3</v>
      </c>
      <c r="E132" s="143">
        <v>2</v>
      </c>
      <c r="F132" s="143">
        <v>3</v>
      </c>
      <c r="G132" s="143">
        <v>3</v>
      </c>
      <c r="H132" s="143">
        <v>3</v>
      </c>
      <c r="I132" s="143">
        <v>0</v>
      </c>
      <c r="J132" s="143"/>
      <c r="K132" s="92">
        <f>SUM(B132:J132)</f>
        <v>20</v>
      </c>
    </row>
    <row r="133" spans="1:13" x14ac:dyDescent="0.2">
      <c r="A133" s="158" t="s">
        <v>1276</v>
      </c>
      <c r="B133" s="146">
        <v>0</v>
      </c>
      <c r="C133" s="146">
        <v>0</v>
      </c>
      <c r="D133" s="146">
        <v>0</v>
      </c>
      <c r="E133" s="146">
        <v>0</v>
      </c>
      <c r="F133" s="146">
        <v>0</v>
      </c>
      <c r="G133" s="146">
        <v>0</v>
      </c>
      <c r="H133" s="146">
        <v>0</v>
      </c>
      <c r="I133" s="146">
        <v>0</v>
      </c>
      <c r="J133" s="146"/>
      <c r="K133" s="152">
        <f>SUM(B133:J133)</f>
        <v>0</v>
      </c>
    </row>
  </sheetData>
  <mergeCells count="79">
    <mergeCell ref="A125:A127"/>
    <mergeCell ref="K125:M127"/>
    <mergeCell ref="A128:A130"/>
    <mergeCell ref="K128:M130"/>
    <mergeCell ref="A116:A118"/>
    <mergeCell ref="K116:M118"/>
    <mergeCell ref="A119:A121"/>
    <mergeCell ref="K119:M121"/>
    <mergeCell ref="A122:A124"/>
    <mergeCell ref="K122:M124"/>
    <mergeCell ref="A114:A115"/>
    <mergeCell ref="K114:M115"/>
    <mergeCell ref="A82:A84"/>
    <mergeCell ref="M82:M84"/>
    <mergeCell ref="A85:A87"/>
    <mergeCell ref="M85:M87"/>
    <mergeCell ref="A92:A93"/>
    <mergeCell ref="A94:A96"/>
    <mergeCell ref="M103:M105"/>
    <mergeCell ref="M106:M108"/>
    <mergeCell ref="A97:A99"/>
    <mergeCell ref="A100:A102"/>
    <mergeCell ref="A103:A105"/>
    <mergeCell ref="A106:A108"/>
    <mergeCell ref="A113:M113"/>
    <mergeCell ref="A73:A75"/>
    <mergeCell ref="M73:M75"/>
    <mergeCell ref="A76:A78"/>
    <mergeCell ref="M76:M78"/>
    <mergeCell ref="A79:A81"/>
    <mergeCell ref="M79:M81"/>
    <mergeCell ref="A48:K48"/>
    <mergeCell ref="A49:A50"/>
    <mergeCell ref="I49:K50"/>
    <mergeCell ref="A71:A72"/>
    <mergeCell ref="M71:M72"/>
    <mergeCell ref="A51:A53"/>
    <mergeCell ref="I51:K53"/>
    <mergeCell ref="A54:A56"/>
    <mergeCell ref="I54:K56"/>
    <mergeCell ref="A57:A59"/>
    <mergeCell ref="I57:K59"/>
    <mergeCell ref="A60:A62"/>
    <mergeCell ref="I60:K62"/>
    <mergeCell ref="A63:A65"/>
    <mergeCell ref="I63:K65"/>
    <mergeCell ref="A70:M70"/>
    <mergeCell ref="A35:A37"/>
    <mergeCell ref="E35:H37"/>
    <mergeCell ref="A38:A40"/>
    <mergeCell ref="E38:H40"/>
    <mergeCell ref="A41:A43"/>
    <mergeCell ref="D26:D27"/>
    <mergeCell ref="E26:H27"/>
    <mergeCell ref="A29:A31"/>
    <mergeCell ref="E29:H31"/>
    <mergeCell ref="A32:A34"/>
    <mergeCell ref="E32:H34"/>
    <mergeCell ref="A3:M3"/>
    <mergeCell ref="A4:A6"/>
    <mergeCell ref="B4:H4"/>
    <mergeCell ref="I4:K4"/>
    <mergeCell ref="L4:M6"/>
    <mergeCell ref="A7:A9"/>
    <mergeCell ref="L7:M9"/>
    <mergeCell ref="M94:M96"/>
    <mergeCell ref="M97:M99"/>
    <mergeCell ref="M100:M102"/>
    <mergeCell ref="A10:A12"/>
    <mergeCell ref="L10:M12"/>
    <mergeCell ref="A13:A15"/>
    <mergeCell ref="L13:M15"/>
    <mergeCell ref="A16:A18"/>
    <mergeCell ref="L16:M18"/>
    <mergeCell ref="A19:A21"/>
    <mergeCell ref="L19:M21"/>
    <mergeCell ref="A26:A28"/>
    <mergeCell ref="B26:B27"/>
    <mergeCell ref="C26:C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83BB-CB52-4B7F-972B-EA451648F146}">
  <dimension ref="A1:K50"/>
  <sheetViews>
    <sheetView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F17" sqref="F17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31.60937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11" ht="18.75" x14ac:dyDescent="0.25">
      <c r="A1" s="1" t="s">
        <v>0</v>
      </c>
    </row>
    <row r="3" spans="1:11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11" x14ac:dyDescent="0.2">
      <c r="A4" s="276">
        <v>46181</v>
      </c>
      <c r="B4" s="8" t="s">
        <v>9</v>
      </c>
      <c r="C4" s="8" t="s">
        <v>326</v>
      </c>
      <c r="D4" s="181" t="s">
        <v>1223</v>
      </c>
      <c r="E4" s="172">
        <v>0.41666666666666669</v>
      </c>
      <c r="F4" s="177">
        <v>0.40625</v>
      </c>
      <c r="G4" s="159"/>
      <c r="H4" s="242"/>
    </row>
    <row r="5" spans="1:11" x14ac:dyDescent="0.2">
      <c r="A5" s="276"/>
      <c r="B5" s="8" t="s">
        <v>14</v>
      </c>
      <c r="C5" s="8" t="s">
        <v>307</v>
      </c>
      <c r="D5" s="8" t="s">
        <v>2270</v>
      </c>
      <c r="E5" s="172">
        <v>0.54166666666666663</v>
      </c>
      <c r="F5" s="175">
        <v>0.56666666666666665</v>
      </c>
      <c r="G5" s="159"/>
      <c r="H5" s="242" t="s">
        <v>2272</v>
      </c>
    </row>
    <row r="6" spans="1:11" x14ac:dyDescent="0.2">
      <c r="A6" s="276"/>
      <c r="B6" s="8" t="s">
        <v>20</v>
      </c>
      <c r="C6" s="10"/>
      <c r="D6" s="10"/>
      <c r="E6" s="172">
        <v>0.66666666666666663</v>
      </c>
      <c r="F6" s="177"/>
      <c r="G6" s="176"/>
      <c r="H6" s="242"/>
    </row>
    <row r="7" spans="1:11" ht="15" customHeight="1" x14ac:dyDescent="0.2">
      <c r="A7" s="276"/>
      <c r="B7" s="8" t="s">
        <v>22</v>
      </c>
      <c r="C7" s="8" t="s">
        <v>305</v>
      </c>
      <c r="D7" s="8" t="s">
        <v>306</v>
      </c>
      <c r="E7" s="172">
        <v>0.70833333333333337</v>
      </c>
      <c r="F7" s="177">
        <v>0.68194444444444446</v>
      </c>
      <c r="G7" s="159"/>
      <c r="H7" s="242"/>
    </row>
    <row r="8" spans="1:11" ht="15" customHeight="1" x14ac:dyDescent="0.2">
      <c r="A8" s="276"/>
      <c r="B8" s="8" t="s">
        <v>26</v>
      </c>
      <c r="C8" s="8" t="s">
        <v>336</v>
      </c>
      <c r="D8" s="8" t="s">
        <v>561</v>
      </c>
      <c r="E8" s="172">
        <v>0.66666666666666663</v>
      </c>
      <c r="F8" s="177">
        <v>0.63680555555555551</v>
      </c>
      <c r="G8" s="159"/>
      <c r="H8" s="242"/>
    </row>
    <row r="9" spans="1:11" ht="15" customHeight="1" x14ac:dyDescent="0.2">
      <c r="A9" s="276"/>
      <c r="B9" s="8" t="s">
        <v>26</v>
      </c>
      <c r="C9" s="8" t="s">
        <v>811</v>
      </c>
      <c r="D9" s="8" t="s">
        <v>554</v>
      </c>
      <c r="E9" s="172">
        <v>0.66666666666666663</v>
      </c>
      <c r="F9" s="175">
        <v>0.75277777777777777</v>
      </c>
      <c r="G9" s="159"/>
      <c r="H9" s="242" t="s">
        <v>2274</v>
      </c>
    </row>
    <row r="10" spans="1:11" ht="15" customHeight="1" x14ac:dyDescent="0.2">
      <c r="A10" s="276"/>
      <c r="B10" s="8" t="s">
        <v>26</v>
      </c>
      <c r="C10" s="8" t="s">
        <v>1027</v>
      </c>
      <c r="D10" s="8" t="s">
        <v>314</v>
      </c>
      <c r="E10" s="172">
        <v>0.66666666666666663</v>
      </c>
      <c r="F10" s="177">
        <v>0.63263888888888886</v>
      </c>
      <c r="G10" s="159"/>
      <c r="H10" s="242"/>
    </row>
    <row r="11" spans="1:11" ht="15" customHeight="1" x14ac:dyDescent="0.2">
      <c r="A11" s="276"/>
      <c r="B11" s="8" t="s">
        <v>1443</v>
      </c>
      <c r="C11" s="8" t="s">
        <v>550</v>
      </c>
      <c r="D11" s="8" t="s">
        <v>559</v>
      </c>
      <c r="E11" s="172">
        <v>0.66666666666666663</v>
      </c>
      <c r="F11" s="177">
        <v>0.63541666666666663</v>
      </c>
      <c r="G11" s="159"/>
      <c r="H11" s="242"/>
      <c r="J11" s="2"/>
      <c r="K11" s="2"/>
    </row>
    <row r="12" spans="1:11" x14ac:dyDescent="0.2">
      <c r="A12" s="276">
        <v>46182</v>
      </c>
      <c r="B12" s="8" t="s">
        <v>315</v>
      </c>
      <c r="C12" s="8" t="s">
        <v>305</v>
      </c>
      <c r="D12" s="8" t="s">
        <v>306</v>
      </c>
      <c r="E12" s="172">
        <v>0.41666666666666669</v>
      </c>
      <c r="F12" s="177">
        <v>0.34861111111111109</v>
      </c>
      <c r="G12" s="159"/>
      <c r="H12" s="242"/>
    </row>
    <row r="13" spans="1:11" x14ac:dyDescent="0.2">
      <c r="A13" s="276"/>
      <c r="B13" s="8" t="s">
        <v>315</v>
      </c>
      <c r="C13" s="8" t="s">
        <v>326</v>
      </c>
      <c r="D13" s="8" t="s">
        <v>2271</v>
      </c>
      <c r="E13" s="172">
        <v>0.41666666666666669</v>
      </c>
      <c r="F13" s="175">
        <v>0.47083333333333333</v>
      </c>
      <c r="G13" s="159"/>
      <c r="H13" s="242" t="s">
        <v>2275</v>
      </c>
    </row>
    <row r="14" spans="1:11" x14ac:dyDescent="0.2">
      <c r="A14" s="276"/>
      <c r="B14" s="8" t="s">
        <v>315</v>
      </c>
      <c r="C14" s="8" t="s">
        <v>307</v>
      </c>
      <c r="D14" s="8" t="s">
        <v>2270</v>
      </c>
      <c r="E14" s="172">
        <v>0.41666666666666669</v>
      </c>
      <c r="F14" s="175">
        <v>0.42222222222222222</v>
      </c>
      <c r="G14" s="159"/>
      <c r="H14" s="242" t="s">
        <v>2276</v>
      </c>
    </row>
    <row r="15" spans="1:11" x14ac:dyDescent="0.2">
      <c r="A15" s="276"/>
      <c r="B15" s="8" t="s">
        <v>14</v>
      </c>
      <c r="C15" s="8" t="s">
        <v>320</v>
      </c>
      <c r="D15" s="8" t="s">
        <v>321</v>
      </c>
      <c r="E15" s="172">
        <v>0.54166666666666663</v>
      </c>
      <c r="F15" s="177">
        <v>0.34791666666666665</v>
      </c>
      <c r="G15" s="159"/>
      <c r="H15" s="242"/>
    </row>
    <row r="16" spans="1:11" x14ac:dyDescent="0.2">
      <c r="A16" s="276"/>
      <c r="B16" s="8" t="s">
        <v>20</v>
      </c>
      <c r="C16" s="10"/>
      <c r="D16" s="10"/>
      <c r="E16" s="172">
        <v>0.70833333333333337</v>
      </c>
      <c r="F16" s="177"/>
      <c r="G16" s="160"/>
      <c r="H16" s="242"/>
    </row>
    <row r="17" spans="1:8" x14ac:dyDescent="0.2">
      <c r="A17" s="276"/>
      <c r="B17" s="8" t="s">
        <v>22</v>
      </c>
      <c r="C17" s="8" t="s">
        <v>305</v>
      </c>
      <c r="D17" s="8" t="s">
        <v>306</v>
      </c>
      <c r="E17" s="172">
        <v>0.70833333333333337</v>
      </c>
      <c r="F17" s="175">
        <v>0.71388888888888891</v>
      </c>
      <c r="G17" s="159"/>
      <c r="H17" s="242" t="s">
        <v>2290</v>
      </c>
    </row>
    <row r="18" spans="1:8" x14ac:dyDescent="0.2">
      <c r="A18" s="276"/>
      <c r="B18" s="8" t="s">
        <v>26</v>
      </c>
      <c r="C18" s="8" t="s">
        <v>563</v>
      </c>
      <c r="D18" s="8" t="s">
        <v>792</v>
      </c>
      <c r="E18" s="172">
        <v>0.66666666666666663</v>
      </c>
      <c r="F18" s="177">
        <v>0.61319444444444449</v>
      </c>
      <c r="G18" s="159"/>
      <c r="H18" s="242"/>
    </row>
    <row r="19" spans="1:8" x14ac:dyDescent="0.2">
      <c r="A19" s="276"/>
      <c r="B19" s="8" t="s">
        <v>26</v>
      </c>
      <c r="C19" s="8" t="s">
        <v>1027</v>
      </c>
      <c r="D19" s="8" t="s">
        <v>314</v>
      </c>
      <c r="E19" s="172">
        <v>0.66666666666666663</v>
      </c>
      <c r="F19" s="177">
        <v>0.63194444444444442</v>
      </c>
      <c r="G19" s="159"/>
      <c r="H19" s="242"/>
    </row>
    <row r="20" spans="1:8" x14ac:dyDescent="0.2">
      <c r="A20" s="276"/>
      <c r="B20" s="8" t="s">
        <v>1443</v>
      </c>
      <c r="C20" s="8" t="s">
        <v>801</v>
      </c>
      <c r="D20" s="8" t="s">
        <v>1224</v>
      </c>
      <c r="E20" s="172">
        <v>0.66666666666666663</v>
      </c>
      <c r="F20" s="175">
        <v>0.71944444444444444</v>
      </c>
      <c r="G20" s="159"/>
      <c r="H20" s="242" t="s">
        <v>2291</v>
      </c>
    </row>
    <row r="21" spans="1:8" x14ac:dyDescent="0.2">
      <c r="A21" s="276">
        <v>46183</v>
      </c>
      <c r="B21" s="8" t="s">
        <v>9</v>
      </c>
      <c r="C21" s="8" t="s">
        <v>305</v>
      </c>
      <c r="D21" s="8" t="s">
        <v>306</v>
      </c>
      <c r="E21" s="172">
        <v>0.41666666666666669</v>
      </c>
      <c r="F21" s="177">
        <v>0.38958333333333334</v>
      </c>
      <c r="G21" s="159"/>
      <c r="H21" s="242"/>
    </row>
    <row r="22" spans="1:8" x14ac:dyDescent="0.2">
      <c r="A22" s="276"/>
      <c r="B22" s="8" t="s">
        <v>14</v>
      </c>
      <c r="C22" s="8" t="s">
        <v>320</v>
      </c>
      <c r="D22" s="181" t="s">
        <v>321</v>
      </c>
      <c r="E22" s="172">
        <v>0.54166666666666663</v>
      </c>
      <c r="F22" s="177">
        <v>0.41666666666666669</v>
      </c>
      <c r="G22" s="159"/>
      <c r="H22" s="242"/>
    </row>
    <row r="23" spans="1:8" x14ac:dyDescent="0.2">
      <c r="A23" s="276"/>
      <c r="B23" s="8" t="s">
        <v>20</v>
      </c>
      <c r="C23" s="8"/>
      <c r="D23" s="8"/>
      <c r="E23" s="172">
        <v>0.66666666666666663</v>
      </c>
      <c r="F23" s="177"/>
      <c r="G23" s="160"/>
      <c r="H23" s="242"/>
    </row>
    <row r="24" spans="1:8" x14ac:dyDescent="0.2">
      <c r="A24" s="276"/>
      <c r="B24" s="8" t="s">
        <v>22</v>
      </c>
      <c r="C24" s="8" t="s">
        <v>326</v>
      </c>
      <c r="D24" s="8" t="s">
        <v>1223</v>
      </c>
      <c r="E24" s="172">
        <v>0.66666666666666663</v>
      </c>
      <c r="F24" s="175">
        <v>0.70902777777777781</v>
      </c>
      <c r="G24" s="159"/>
      <c r="H24" s="242" t="s">
        <v>2313</v>
      </c>
    </row>
    <row r="25" spans="1:8" x14ac:dyDescent="0.2">
      <c r="A25" s="276"/>
      <c r="B25" s="8" t="s">
        <v>26</v>
      </c>
      <c r="C25" s="8" t="s">
        <v>303</v>
      </c>
      <c r="D25" s="8" t="s">
        <v>331</v>
      </c>
      <c r="E25" s="172">
        <v>0.66666666666666663</v>
      </c>
      <c r="F25" s="175">
        <v>0.71458333333333335</v>
      </c>
      <c r="G25" s="159"/>
      <c r="H25" s="242" t="s">
        <v>2314</v>
      </c>
    </row>
    <row r="26" spans="1:8" x14ac:dyDescent="0.2">
      <c r="A26" s="276"/>
      <c r="B26" s="8" t="s">
        <v>26</v>
      </c>
      <c r="C26" s="8" t="s">
        <v>311</v>
      </c>
      <c r="D26" s="8" t="s">
        <v>312</v>
      </c>
      <c r="E26" s="172">
        <v>0.66666666666666663</v>
      </c>
      <c r="F26" s="175">
        <v>0.70208333333333328</v>
      </c>
      <c r="G26" s="159"/>
      <c r="H26" s="242" t="s">
        <v>2315</v>
      </c>
    </row>
    <row r="27" spans="1:8" x14ac:dyDescent="0.2">
      <c r="A27" s="276"/>
      <c r="B27" s="8" t="s">
        <v>26</v>
      </c>
      <c r="C27" s="8" t="s">
        <v>1027</v>
      </c>
      <c r="D27" s="8" t="s">
        <v>314</v>
      </c>
      <c r="E27" s="172">
        <v>0.66666666666666663</v>
      </c>
      <c r="F27" s="177">
        <v>0.63402777777777775</v>
      </c>
      <c r="G27" s="159"/>
      <c r="H27" s="242"/>
    </row>
    <row r="28" spans="1:8" x14ac:dyDescent="0.2">
      <c r="A28" s="276"/>
      <c r="B28" s="8" t="s">
        <v>1443</v>
      </c>
      <c r="C28" s="8" t="s">
        <v>318</v>
      </c>
      <c r="D28" s="8" t="s">
        <v>789</v>
      </c>
      <c r="E28" s="172">
        <v>0.66666666666666663</v>
      </c>
      <c r="F28" s="177">
        <v>0.65763888888888888</v>
      </c>
      <c r="G28" s="159"/>
      <c r="H28" s="242"/>
    </row>
    <row r="29" spans="1:8" x14ac:dyDescent="0.2">
      <c r="A29" s="276">
        <v>46184</v>
      </c>
      <c r="B29" s="8" t="s">
        <v>9</v>
      </c>
      <c r="C29" s="8" t="s">
        <v>563</v>
      </c>
      <c r="D29" s="181" t="s">
        <v>2310</v>
      </c>
      <c r="E29" s="172">
        <v>0.41666666666666669</v>
      </c>
      <c r="F29" s="175">
        <v>0.4597222222222222</v>
      </c>
      <c r="G29" s="159"/>
      <c r="H29" s="195" t="s">
        <v>2343</v>
      </c>
    </row>
    <row r="30" spans="1:8" x14ac:dyDescent="0.2">
      <c r="A30" s="276"/>
      <c r="B30" s="8" t="s">
        <v>9</v>
      </c>
      <c r="C30" s="8" t="s">
        <v>326</v>
      </c>
      <c r="D30" s="181" t="s">
        <v>1223</v>
      </c>
      <c r="E30" s="172">
        <v>0.41666666666666669</v>
      </c>
      <c r="F30" s="175">
        <v>0.4284722222222222</v>
      </c>
      <c r="G30" s="159"/>
      <c r="H30" s="195" t="s">
        <v>2345</v>
      </c>
    </row>
    <row r="31" spans="1:8" x14ac:dyDescent="0.2">
      <c r="A31" s="276"/>
      <c r="B31" s="8" t="s">
        <v>14</v>
      </c>
      <c r="C31" s="8" t="s">
        <v>550</v>
      </c>
      <c r="D31" s="8" t="s">
        <v>2311</v>
      </c>
      <c r="E31" s="172">
        <v>0.54166666666666663</v>
      </c>
      <c r="F31" s="175">
        <v>0.55555555555555558</v>
      </c>
      <c r="G31" s="159"/>
      <c r="H31" s="195" t="s">
        <v>2344</v>
      </c>
    </row>
    <row r="32" spans="1:8" x14ac:dyDescent="0.2">
      <c r="A32" s="276"/>
      <c r="B32" s="8" t="s">
        <v>20</v>
      </c>
      <c r="C32" s="8" t="s">
        <v>801</v>
      </c>
      <c r="D32" s="8" t="s">
        <v>2342</v>
      </c>
      <c r="E32" s="172">
        <v>0.66666666666666663</v>
      </c>
      <c r="F32" s="175">
        <v>0.69513888888888886</v>
      </c>
      <c r="G32" s="159"/>
      <c r="H32" s="195" t="s">
        <v>2346</v>
      </c>
    </row>
    <row r="33" spans="1:8" x14ac:dyDescent="0.2">
      <c r="A33" s="276"/>
      <c r="B33" s="8" t="s">
        <v>22</v>
      </c>
      <c r="C33" s="8" t="s">
        <v>305</v>
      </c>
      <c r="D33" s="8" t="s">
        <v>306</v>
      </c>
      <c r="E33" s="172">
        <v>0.70833333333333337</v>
      </c>
      <c r="F33" s="177">
        <v>0.6875</v>
      </c>
      <c r="G33" s="159"/>
      <c r="H33" s="195"/>
    </row>
    <row r="34" spans="1:8" x14ac:dyDescent="0.2">
      <c r="A34" s="276"/>
      <c r="B34" s="8" t="s">
        <v>26</v>
      </c>
      <c r="C34" s="8" t="s">
        <v>2020</v>
      </c>
      <c r="D34" s="8" t="s">
        <v>2021</v>
      </c>
      <c r="E34" s="172">
        <v>0.66666666666666663</v>
      </c>
      <c r="F34" s="175">
        <v>0.67708333333333337</v>
      </c>
      <c r="G34" s="159"/>
      <c r="H34" s="195" t="s">
        <v>2360</v>
      </c>
    </row>
    <row r="35" spans="1:8" x14ac:dyDescent="0.2">
      <c r="A35" s="276"/>
      <c r="B35" s="8" t="s">
        <v>26</v>
      </c>
      <c r="C35" s="8" t="s">
        <v>811</v>
      </c>
      <c r="D35" s="8" t="s">
        <v>554</v>
      </c>
      <c r="E35" s="172">
        <v>0.66666666666666663</v>
      </c>
      <c r="F35" s="175">
        <v>0.80069444444444449</v>
      </c>
      <c r="G35" s="159"/>
      <c r="H35" s="195" t="s">
        <v>2361</v>
      </c>
    </row>
    <row r="36" spans="1:8" x14ac:dyDescent="0.2">
      <c r="A36" s="276"/>
      <c r="B36" s="8" t="s">
        <v>26</v>
      </c>
      <c r="C36" s="8" t="s">
        <v>1027</v>
      </c>
      <c r="D36" s="8" t="s">
        <v>314</v>
      </c>
      <c r="E36" s="172">
        <v>0.66666666666666663</v>
      </c>
      <c r="F36" s="177">
        <v>0.63611111111111107</v>
      </c>
      <c r="G36" s="159"/>
      <c r="H36" s="195"/>
    </row>
    <row r="37" spans="1:8" x14ac:dyDescent="0.2">
      <c r="A37" s="276"/>
      <c r="B37" s="8" t="s">
        <v>1443</v>
      </c>
      <c r="C37" s="8" t="s">
        <v>1026</v>
      </c>
      <c r="D37" s="8" t="s">
        <v>569</v>
      </c>
      <c r="E37" s="172">
        <v>0.66666666666666663</v>
      </c>
      <c r="F37" s="177">
        <v>0.5</v>
      </c>
      <c r="G37" s="159"/>
      <c r="H37" s="195"/>
    </row>
    <row r="38" spans="1:8" x14ac:dyDescent="0.2">
      <c r="A38" s="276"/>
      <c r="B38" s="8" t="s">
        <v>1443</v>
      </c>
      <c r="C38" s="8" t="s">
        <v>301</v>
      </c>
      <c r="D38" s="8" t="s">
        <v>2341</v>
      </c>
      <c r="E38" s="172">
        <v>0.66666666666666663</v>
      </c>
      <c r="F38" s="177">
        <v>0.60138888888888886</v>
      </c>
      <c r="G38" s="159"/>
      <c r="H38" s="195"/>
    </row>
    <row r="39" spans="1:8" x14ac:dyDescent="0.2">
      <c r="A39" s="376">
        <v>46185</v>
      </c>
      <c r="B39" s="8" t="s">
        <v>9</v>
      </c>
      <c r="C39" s="8" t="s">
        <v>305</v>
      </c>
      <c r="D39" s="8" t="s">
        <v>306</v>
      </c>
      <c r="E39" s="172">
        <v>0.41666666666666669</v>
      </c>
      <c r="F39" s="177">
        <v>0.37708333333333333</v>
      </c>
      <c r="G39" s="159"/>
      <c r="H39" s="195"/>
    </row>
    <row r="40" spans="1:8" x14ac:dyDescent="0.2">
      <c r="A40" s="377"/>
      <c r="B40" s="8" t="s">
        <v>14</v>
      </c>
      <c r="C40" s="8" t="s">
        <v>811</v>
      </c>
      <c r="D40" s="8" t="s">
        <v>2362</v>
      </c>
      <c r="E40" s="172">
        <v>0.54166666666666663</v>
      </c>
      <c r="F40" s="175">
        <v>0.6333333333333333</v>
      </c>
      <c r="G40" s="159"/>
      <c r="H40" s="195" t="s">
        <v>2501</v>
      </c>
    </row>
    <row r="41" spans="1:8" x14ac:dyDescent="0.2">
      <c r="A41" s="377"/>
      <c r="B41" s="8" t="s">
        <v>20</v>
      </c>
      <c r="C41" s="8"/>
      <c r="D41" s="8"/>
      <c r="E41" s="172">
        <v>0.66666666666666663</v>
      </c>
      <c r="F41" s="177"/>
      <c r="G41" s="159"/>
      <c r="H41" s="195"/>
    </row>
    <row r="42" spans="1:8" x14ac:dyDescent="0.2">
      <c r="A42" s="377"/>
      <c r="B42" s="8" t="s">
        <v>22</v>
      </c>
      <c r="C42" s="8" t="s">
        <v>326</v>
      </c>
      <c r="D42" s="8" t="s">
        <v>1223</v>
      </c>
      <c r="E42" s="172">
        <v>0.70833333333333337</v>
      </c>
      <c r="F42" s="177">
        <v>0.69722222222222219</v>
      </c>
      <c r="G42" s="159"/>
      <c r="H42" s="195"/>
    </row>
    <row r="43" spans="1:8" x14ac:dyDescent="0.2">
      <c r="A43" s="377"/>
      <c r="B43" s="8" t="s">
        <v>26</v>
      </c>
      <c r="C43" s="8" t="s">
        <v>1026</v>
      </c>
      <c r="D43" s="8" t="s">
        <v>569</v>
      </c>
      <c r="E43" s="172">
        <v>0.66666666666666663</v>
      </c>
      <c r="F43" s="175">
        <v>0.68958333333333333</v>
      </c>
      <c r="G43" s="159"/>
      <c r="H43" s="195" t="s">
        <v>2504</v>
      </c>
    </row>
    <row r="44" spans="1:8" x14ac:dyDescent="0.2">
      <c r="A44" s="377"/>
      <c r="B44" s="8" t="s">
        <v>26</v>
      </c>
      <c r="C44" s="8" t="s">
        <v>1027</v>
      </c>
      <c r="D44" s="8" t="s">
        <v>314</v>
      </c>
      <c r="E44" s="172">
        <v>0.66666666666666663</v>
      </c>
      <c r="F44" s="177">
        <v>0.63749999999999996</v>
      </c>
      <c r="G44" s="159"/>
      <c r="H44" s="195"/>
    </row>
    <row r="45" spans="1:8" x14ac:dyDescent="0.2">
      <c r="A45" s="378"/>
      <c r="B45" s="8" t="s">
        <v>1443</v>
      </c>
      <c r="C45" s="8" t="s">
        <v>550</v>
      </c>
      <c r="D45" s="8" t="s">
        <v>559</v>
      </c>
      <c r="E45" s="172">
        <v>0.66666666666666663</v>
      </c>
      <c r="F45" s="177">
        <v>0.63194444444444442</v>
      </c>
      <c r="G45" s="159"/>
      <c r="H45" s="195"/>
    </row>
    <row r="47" spans="1:8" x14ac:dyDescent="0.2">
      <c r="A47" s="96" t="s">
        <v>1228</v>
      </c>
      <c r="B47" s="386">
        <v>38</v>
      </c>
      <c r="C47" s="387"/>
    </row>
    <row r="48" spans="1:8" x14ac:dyDescent="0.2">
      <c r="A48" s="96" t="s">
        <v>1229</v>
      </c>
      <c r="B48" s="78">
        <v>21</v>
      </c>
      <c r="C48" s="179">
        <f>B48/B47</f>
        <v>0.55263157894736847</v>
      </c>
    </row>
    <row r="49" spans="1:3" x14ac:dyDescent="0.2">
      <c r="A49" s="96" t="s">
        <v>1230</v>
      </c>
      <c r="B49" s="97">
        <v>17</v>
      </c>
      <c r="C49" s="180">
        <f>B49/B47</f>
        <v>0.44736842105263158</v>
      </c>
    </row>
    <row r="50" spans="1:3" x14ac:dyDescent="0.2">
      <c r="B50" s="141"/>
    </row>
  </sheetData>
  <autoFilter ref="A3:H45" xr:uid="{007222C0-65E8-4432-AB3E-97A35AC12FA3}"/>
  <mergeCells count="6">
    <mergeCell ref="A39:A45"/>
    <mergeCell ref="B47:C47"/>
    <mergeCell ref="A4:A11"/>
    <mergeCell ref="A12:A20"/>
    <mergeCell ref="A21:A28"/>
    <mergeCell ref="A29:A38"/>
  </mergeCells>
  <conditionalFormatting sqref="F4:F45">
    <cfRule type="expression" dxfId="8" priority="1">
      <formula>AND(F4&lt;=E4,F4&lt;&gt;"")</formula>
    </cfRule>
    <cfRule type="expression" dxfId="7" priority="2">
      <formula>F4&gt;E4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76BF-8CFA-431F-8A3F-7CE80DF5EDC7}">
  <dimension ref="A1:P133"/>
  <sheetViews>
    <sheetView topLeftCell="A11" workbookViewId="0">
      <selection activeCell="H18" sqref="H18"/>
    </sheetView>
  </sheetViews>
  <sheetFormatPr defaultRowHeight="15" x14ac:dyDescent="0.2"/>
  <cols>
    <col min="1" max="1" width="24.078125" customWidth="1"/>
    <col min="2" max="2" width="20.58203125" style="2" customWidth="1"/>
    <col min="3" max="12" width="20.58203125" customWidth="1"/>
    <col min="13" max="13" width="58.91796875" customWidth="1"/>
    <col min="14" max="23" width="20.58203125" customWidth="1"/>
  </cols>
  <sheetData>
    <row r="1" spans="1:13" ht="18.75" x14ac:dyDescent="0.25">
      <c r="A1" s="1" t="s">
        <v>32</v>
      </c>
    </row>
    <row r="3" spans="1:13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spans="1:13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/>
      <c r="I4" s="281" t="s">
        <v>22</v>
      </c>
      <c r="J4" s="281"/>
      <c r="K4" s="281"/>
      <c r="L4" s="282" t="s">
        <v>8</v>
      </c>
      <c r="M4" s="282"/>
    </row>
    <row r="5" spans="1:13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1997</v>
      </c>
      <c r="H5" s="5" t="s">
        <v>40</v>
      </c>
      <c r="I5" s="4" t="s">
        <v>35</v>
      </c>
      <c r="J5" s="5" t="s">
        <v>36</v>
      </c>
      <c r="K5" s="5" t="s">
        <v>37</v>
      </c>
      <c r="L5" s="282"/>
      <c r="M5" s="282"/>
    </row>
    <row r="6" spans="1:13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264</v>
      </c>
      <c r="H6" s="15" t="s">
        <v>45</v>
      </c>
      <c r="I6" s="15" t="s">
        <v>46</v>
      </c>
      <c r="J6" s="15" t="s">
        <v>47</v>
      </c>
      <c r="K6" s="15" t="s">
        <v>47</v>
      </c>
      <c r="L6" s="282"/>
      <c r="M6" s="282"/>
    </row>
    <row r="7" spans="1:13" x14ac:dyDescent="0.2">
      <c r="A7" s="379">
        <v>46181</v>
      </c>
      <c r="B7" s="51" t="s">
        <v>2285</v>
      </c>
      <c r="C7" s="51" t="s">
        <v>2287</v>
      </c>
      <c r="D7" s="51" t="s">
        <v>2287</v>
      </c>
      <c r="E7" s="53"/>
      <c r="F7" s="53"/>
      <c r="G7" s="53"/>
      <c r="H7" s="53"/>
      <c r="I7" s="74" t="s">
        <v>2284</v>
      </c>
      <c r="J7" s="74" t="s">
        <v>2286</v>
      </c>
      <c r="K7" s="74" t="s">
        <v>2286</v>
      </c>
      <c r="L7" s="277" t="s">
        <v>1250</v>
      </c>
      <c r="M7" s="278"/>
    </row>
    <row r="8" spans="1:13" x14ac:dyDescent="0.2">
      <c r="A8" s="379"/>
      <c r="B8" s="235" t="s">
        <v>326</v>
      </c>
      <c r="C8" s="235" t="s">
        <v>326</v>
      </c>
      <c r="D8" s="235" t="s">
        <v>326</v>
      </c>
      <c r="E8" s="235"/>
      <c r="F8" s="235"/>
      <c r="G8" s="235"/>
      <c r="H8" s="235"/>
      <c r="I8" s="235" t="s">
        <v>305</v>
      </c>
      <c r="J8" s="235" t="s">
        <v>305</v>
      </c>
      <c r="K8" s="235" t="s">
        <v>305</v>
      </c>
      <c r="L8" s="277"/>
      <c r="M8" s="278"/>
    </row>
    <row r="9" spans="1:13" ht="69.95" customHeight="1" x14ac:dyDescent="0.2">
      <c r="A9" s="379"/>
      <c r="B9" s="9" t="s">
        <v>2283</v>
      </c>
      <c r="C9" s="9">
        <v>8260100855</v>
      </c>
      <c r="D9" s="9" t="s">
        <v>2288</v>
      </c>
      <c r="E9" s="9"/>
      <c r="F9" s="9"/>
      <c r="G9" s="9"/>
      <c r="H9" s="9"/>
      <c r="I9" s="9">
        <v>8260100920</v>
      </c>
      <c r="J9" s="9">
        <v>8260100919</v>
      </c>
      <c r="K9" s="9">
        <v>8260100921</v>
      </c>
      <c r="L9" s="278"/>
      <c r="M9" s="278"/>
    </row>
    <row r="10" spans="1:13" x14ac:dyDescent="0.2">
      <c r="A10" s="276">
        <v>46182</v>
      </c>
      <c r="B10" s="53" t="s">
        <v>2295</v>
      </c>
      <c r="C10" s="53" t="s">
        <v>2296</v>
      </c>
      <c r="D10" s="53" t="s">
        <v>2296</v>
      </c>
      <c r="E10" s="53" t="s">
        <v>2298</v>
      </c>
      <c r="F10" s="53" t="s">
        <v>2299</v>
      </c>
      <c r="G10" s="53"/>
      <c r="H10" s="53"/>
      <c r="I10" s="56" t="s">
        <v>2294</v>
      </c>
      <c r="J10" s="56" t="s">
        <v>2297</v>
      </c>
      <c r="K10" s="56" t="s">
        <v>2297</v>
      </c>
      <c r="L10" s="283"/>
      <c r="M10" s="283"/>
    </row>
    <row r="11" spans="1:13" x14ac:dyDescent="0.2">
      <c r="A11" s="276"/>
      <c r="B11" s="235" t="s">
        <v>305</v>
      </c>
      <c r="C11" s="235" t="s">
        <v>305</v>
      </c>
      <c r="D11" s="235" t="s">
        <v>305</v>
      </c>
      <c r="E11" s="235" t="s">
        <v>326</v>
      </c>
      <c r="F11" s="235" t="s">
        <v>307</v>
      </c>
      <c r="G11" s="235"/>
      <c r="H11" s="235"/>
      <c r="I11" s="235" t="s">
        <v>305</v>
      </c>
      <c r="J11" s="235" t="s">
        <v>305</v>
      </c>
      <c r="K11" s="235" t="s">
        <v>305</v>
      </c>
      <c r="L11" s="283"/>
      <c r="M11" s="283"/>
    </row>
    <row r="12" spans="1:13" ht="68.25" x14ac:dyDescent="0.2">
      <c r="A12" s="276"/>
      <c r="B12" s="9" t="s">
        <v>2278</v>
      </c>
      <c r="C12" s="9" t="s">
        <v>2279</v>
      </c>
      <c r="D12" s="9" t="s">
        <v>2280</v>
      </c>
      <c r="E12" s="9" t="s">
        <v>2281</v>
      </c>
      <c r="F12" s="9" t="s">
        <v>2282</v>
      </c>
      <c r="G12" s="9"/>
      <c r="H12" s="9"/>
      <c r="I12" s="9">
        <v>8260100989</v>
      </c>
      <c r="J12" s="9">
        <v>8260100988</v>
      </c>
      <c r="K12" s="9">
        <v>8260100990</v>
      </c>
      <c r="L12" s="283"/>
      <c r="M12" s="283"/>
    </row>
    <row r="13" spans="1:13" ht="15" customHeight="1" x14ac:dyDescent="0.2">
      <c r="A13" s="276">
        <v>46183</v>
      </c>
      <c r="B13" s="51" t="s">
        <v>2304</v>
      </c>
      <c r="C13" s="51" t="s">
        <v>2307</v>
      </c>
      <c r="D13" s="51" t="s">
        <v>2307</v>
      </c>
      <c r="E13" s="53"/>
      <c r="F13" s="53"/>
      <c r="G13" s="53"/>
      <c r="H13" s="53"/>
      <c r="I13" s="74" t="s">
        <v>2305</v>
      </c>
      <c r="J13" s="56" t="s">
        <v>2308</v>
      </c>
      <c r="K13" s="56" t="s">
        <v>2308</v>
      </c>
      <c r="L13" s="284" t="s">
        <v>1250</v>
      </c>
      <c r="M13" s="285"/>
    </row>
    <row r="14" spans="1:13" ht="15" customHeight="1" x14ac:dyDescent="0.2">
      <c r="A14" s="276"/>
      <c r="B14" s="235" t="s">
        <v>305</v>
      </c>
      <c r="C14" s="235" t="s">
        <v>305</v>
      </c>
      <c r="D14" s="235" t="s">
        <v>305</v>
      </c>
      <c r="E14" s="235"/>
      <c r="F14" s="235"/>
      <c r="G14" s="235"/>
      <c r="H14" s="235"/>
      <c r="I14" s="235" t="s">
        <v>326</v>
      </c>
      <c r="J14" s="235" t="s">
        <v>326</v>
      </c>
      <c r="K14" s="235" t="s">
        <v>326</v>
      </c>
      <c r="L14" s="285"/>
      <c r="M14" s="285"/>
    </row>
    <row r="15" spans="1:13" ht="69.95" customHeight="1" x14ac:dyDescent="0.2">
      <c r="A15" s="276"/>
      <c r="B15" s="9" t="s">
        <v>2303</v>
      </c>
      <c r="C15" s="9" t="s">
        <v>2306</v>
      </c>
      <c r="D15" s="9" t="s">
        <v>2309</v>
      </c>
      <c r="E15" s="9"/>
      <c r="F15" s="9"/>
      <c r="G15" s="9"/>
      <c r="H15" s="9"/>
      <c r="I15" s="9">
        <v>8260101067</v>
      </c>
      <c r="J15" s="9">
        <v>8260101066</v>
      </c>
      <c r="K15" s="9">
        <v>8260101065</v>
      </c>
      <c r="L15" s="285"/>
      <c r="M15" s="285"/>
    </row>
    <row r="16" spans="1:13" x14ac:dyDescent="0.2">
      <c r="A16" s="276">
        <v>46184</v>
      </c>
      <c r="B16" s="51" t="s">
        <v>2352</v>
      </c>
      <c r="C16" s="51" t="s">
        <v>2356</v>
      </c>
      <c r="D16" s="51" t="s">
        <v>2356</v>
      </c>
      <c r="E16" s="53" t="s">
        <v>2356</v>
      </c>
      <c r="F16" s="53" t="s">
        <v>2359</v>
      </c>
      <c r="G16" s="53"/>
      <c r="H16" s="53"/>
      <c r="I16" s="74" t="s">
        <v>2353</v>
      </c>
      <c r="J16" s="74" t="s">
        <v>2355</v>
      </c>
      <c r="K16" s="74" t="s">
        <v>2355</v>
      </c>
      <c r="L16" s="278" t="s">
        <v>1250</v>
      </c>
      <c r="M16" s="278"/>
    </row>
    <row r="17" spans="1:13" x14ac:dyDescent="0.2">
      <c r="A17" s="276"/>
      <c r="B17" s="235" t="s">
        <v>326</v>
      </c>
      <c r="C17" s="235" t="s">
        <v>326</v>
      </c>
      <c r="D17" s="235" t="s">
        <v>326</v>
      </c>
      <c r="E17" s="243" t="s">
        <v>563</v>
      </c>
      <c r="F17" s="243" t="s">
        <v>563</v>
      </c>
      <c r="G17" s="235"/>
      <c r="H17" s="235"/>
      <c r="I17" s="235" t="s">
        <v>305</v>
      </c>
      <c r="J17" s="235" t="s">
        <v>305</v>
      </c>
      <c r="K17" s="235" t="s">
        <v>305</v>
      </c>
      <c r="L17" s="278"/>
      <c r="M17" s="278"/>
    </row>
    <row r="18" spans="1:13" ht="69.95" customHeight="1" x14ac:dyDescent="0.2">
      <c r="A18" s="276"/>
      <c r="B18" s="9" t="s">
        <v>2351</v>
      </c>
      <c r="C18" s="9" t="s">
        <v>2354</v>
      </c>
      <c r="D18" s="9" t="s">
        <v>2357</v>
      </c>
      <c r="E18" s="9" t="s">
        <v>2358</v>
      </c>
      <c r="F18" s="7">
        <v>8260101076</v>
      </c>
      <c r="G18" s="7"/>
      <c r="H18" s="7"/>
      <c r="I18" s="9">
        <v>8260101147</v>
      </c>
      <c r="J18" s="9">
        <v>8260101149</v>
      </c>
      <c r="K18" s="7">
        <v>8260101148</v>
      </c>
      <c r="L18" s="278"/>
      <c r="M18" s="278"/>
    </row>
    <row r="19" spans="1:13" ht="15" customHeight="1" x14ac:dyDescent="0.2">
      <c r="A19" s="276">
        <v>46185</v>
      </c>
      <c r="B19" s="53" t="s">
        <v>2497</v>
      </c>
      <c r="C19" s="53" t="s">
        <v>2500</v>
      </c>
      <c r="D19" s="53" t="s">
        <v>2500</v>
      </c>
      <c r="E19" s="53"/>
      <c r="F19" s="53"/>
      <c r="G19" s="53"/>
      <c r="H19" s="53"/>
      <c r="I19" s="56" t="s">
        <v>1470</v>
      </c>
      <c r="J19" s="56" t="s">
        <v>2499</v>
      </c>
      <c r="K19" s="56" t="s">
        <v>2499</v>
      </c>
      <c r="L19" s="278"/>
      <c r="M19" s="278"/>
    </row>
    <row r="20" spans="1:13" ht="15" customHeight="1" x14ac:dyDescent="0.2">
      <c r="A20" s="276"/>
      <c r="B20" s="237"/>
      <c r="C20" s="237"/>
      <c r="D20" s="237"/>
      <c r="E20" s="235"/>
      <c r="F20" s="235"/>
      <c r="G20" s="235"/>
      <c r="H20" s="235"/>
      <c r="I20" s="238"/>
      <c r="J20" s="238"/>
      <c r="K20" s="238"/>
      <c r="L20" s="278"/>
      <c r="M20" s="278"/>
    </row>
    <row r="21" spans="1:13" ht="69.95" customHeight="1" x14ac:dyDescent="0.2">
      <c r="A21" s="276"/>
      <c r="B21" s="9" t="s">
        <v>2496</v>
      </c>
      <c r="C21" s="9" t="s">
        <v>2498</v>
      </c>
      <c r="D21" s="9">
        <v>8260101156</v>
      </c>
      <c r="E21" s="9"/>
      <c r="F21" s="9"/>
      <c r="G21" s="9"/>
      <c r="H21" s="9"/>
      <c r="I21" s="9">
        <v>8260101220</v>
      </c>
      <c r="J21" s="9">
        <v>8260101218</v>
      </c>
      <c r="K21" s="7">
        <v>8260101219</v>
      </c>
      <c r="L21" s="278"/>
      <c r="M21" s="278"/>
    </row>
    <row r="22" spans="1:13" x14ac:dyDescent="0.2">
      <c r="A22" s="157" t="s">
        <v>1274</v>
      </c>
      <c r="B22" s="143">
        <f t="shared" ref="B22:K22" si="0">B23+B24</f>
        <v>5</v>
      </c>
      <c r="C22" s="143">
        <f t="shared" si="0"/>
        <v>5</v>
      </c>
      <c r="D22" s="143">
        <f t="shared" si="0"/>
        <v>5</v>
      </c>
      <c r="E22" s="143">
        <f t="shared" si="0"/>
        <v>2</v>
      </c>
      <c r="F22" s="143">
        <f t="shared" si="0"/>
        <v>2</v>
      </c>
      <c r="G22" s="143">
        <f t="shared" si="0"/>
        <v>0</v>
      </c>
      <c r="H22" s="143">
        <f t="shared" si="0"/>
        <v>0</v>
      </c>
      <c r="I22" s="143">
        <f t="shared" si="0"/>
        <v>5</v>
      </c>
      <c r="J22" s="143">
        <f t="shared" si="0"/>
        <v>5</v>
      </c>
      <c r="K22" s="143">
        <f t="shared" si="0"/>
        <v>5</v>
      </c>
      <c r="L22" s="149">
        <f>SUM(B22:K22)</f>
        <v>34</v>
      </c>
      <c r="M22" s="144"/>
    </row>
    <row r="23" spans="1:13" x14ac:dyDescent="0.2">
      <c r="A23" s="157" t="s">
        <v>1275</v>
      </c>
      <c r="B23" s="143">
        <v>2</v>
      </c>
      <c r="C23" s="143">
        <v>2</v>
      </c>
      <c r="D23" s="143">
        <v>2</v>
      </c>
      <c r="E23" s="143">
        <v>2</v>
      </c>
      <c r="F23" s="143">
        <v>2</v>
      </c>
      <c r="G23" s="143">
        <v>0</v>
      </c>
      <c r="H23" s="143">
        <v>0</v>
      </c>
      <c r="I23" s="3">
        <v>5</v>
      </c>
      <c r="J23" s="3">
        <v>5</v>
      </c>
      <c r="K23" s="3">
        <v>5</v>
      </c>
      <c r="L23" s="149">
        <f>SUM(B23:K23)</f>
        <v>25</v>
      </c>
      <c r="M23" s="144"/>
    </row>
    <row r="24" spans="1:13" x14ac:dyDescent="0.2">
      <c r="A24" s="158" t="s">
        <v>1276</v>
      </c>
      <c r="B24" s="148">
        <v>3</v>
      </c>
      <c r="C24" s="148">
        <v>3</v>
      </c>
      <c r="D24" s="148">
        <v>3</v>
      </c>
      <c r="E24" s="148">
        <v>0</v>
      </c>
      <c r="F24" s="148">
        <v>0</v>
      </c>
      <c r="G24" s="148">
        <v>0</v>
      </c>
      <c r="H24" s="148">
        <v>0</v>
      </c>
      <c r="I24" s="147">
        <v>0</v>
      </c>
      <c r="J24" s="147">
        <v>0</v>
      </c>
      <c r="K24" s="147">
        <v>0</v>
      </c>
      <c r="L24" s="150">
        <f>SUM(B24:K24)</f>
        <v>9</v>
      </c>
    </row>
    <row r="25" spans="1:13" x14ac:dyDescent="0.2">
      <c r="C25" s="2"/>
      <c r="D25" s="2"/>
      <c r="E25" s="2"/>
      <c r="F25" s="2"/>
      <c r="G25" s="2"/>
      <c r="H25" s="2"/>
    </row>
    <row r="26" spans="1:13" ht="15" customHeight="1" x14ac:dyDescent="0.2">
      <c r="A26" s="280" t="s">
        <v>34</v>
      </c>
      <c r="B26" s="286" t="s">
        <v>379</v>
      </c>
      <c r="C26" s="286" t="s">
        <v>83</v>
      </c>
      <c r="D26" s="286" t="s">
        <v>84</v>
      </c>
      <c r="E26" s="287" t="s">
        <v>8</v>
      </c>
      <c r="F26" s="287"/>
      <c r="G26" s="287"/>
      <c r="H26" s="288"/>
    </row>
    <row r="27" spans="1:13" x14ac:dyDescent="0.2">
      <c r="A27" s="280"/>
      <c r="B27" s="286"/>
      <c r="C27" s="286"/>
      <c r="D27" s="286"/>
      <c r="E27" s="289"/>
      <c r="F27" s="289"/>
      <c r="G27" s="289"/>
      <c r="H27" s="290"/>
    </row>
    <row r="28" spans="1:13" x14ac:dyDescent="0.2">
      <c r="A28" s="280"/>
      <c r="B28" s="14" t="s">
        <v>380</v>
      </c>
      <c r="C28" s="15" t="s">
        <v>381</v>
      </c>
      <c r="D28" s="15" t="s">
        <v>382</v>
      </c>
      <c r="E28" s="130"/>
      <c r="F28" s="130"/>
      <c r="G28" s="130"/>
      <c r="H28" s="131"/>
    </row>
    <row r="29" spans="1:13" s="6" customFormat="1" x14ac:dyDescent="0.2">
      <c r="A29" s="379">
        <v>46181</v>
      </c>
      <c r="B29" s="74" t="s">
        <v>2273</v>
      </c>
      <c r="C29" s="53"/>
      <c r="D29" s="53"/>
      <c r="E29" s="392"/>
      <c r="F29" s="393"/>
      <c r="G29" s="393"/>
      <c r="H29" s="394"/>
    </row>
    <row r="30" spans="1:13" s="6" customFormat="1" x14ac:dyDescent="0.2">
      <c r="A30" s="379"/>
      <c r="B30" s="238" t="s">
        <v>307</v>
      </c>
      <c r="C30" s="235"/>
      <c r="D30" s="235"/>
      <c r="E30" s="407"/>
      <c r="F30" s="408"/>
      <c r="G30" s="408"/>
      <c r="H30" s="409"/>
    </row>
    <row r="31" spans="1:13" s="6" customFormat="1" ht="148.5" x14ac:dyDescent="0.2">
      <c r="A31" s="379"/>
      <c r="B31" s="9" t="s">
        <v>2277</v>
      </c>
      <c r="C31" s="9"/>
      <c r="D31" s="7"/>
      <c r="E31" s="395"/>
      <c r="F31" s="396"/>
      <c r="G31" s="396"/>
      <c r="H31" s="397"/>
      <c r="J31" s="110"/>
      <c r="K31" s="110"/>
    </row>
    <row r="32" spans="1:13" s="6" customFormat="1" x14ac:dyDescent="0.2">
      <c r="A32" s="276">
        <v>46182</v>
      </c>
      <c r="B32" s="74" t="s">
        <v>2300</v>
      </c>
      <c r="C32" s="53"/>
      <c r="D32" s="53"/>
      <c r="E32" s="301"/>
      <c r="F32" s="302"/>
      <c r="G32" s="302"/>
      <c r="H32" s="303"/>
    </row>
    <row r="33" spans="1:13" s="6" customFormat="1" x14ac:dyDescent="0.2">
      <c r="A33" s="276"/>
      <c r="B33" s="239" t="s">
        <v>320</v>
      </c>
      <c r="C33" s="235"/>
      <c r="D33" s="235"/>
      <c r="E33" s="304"/>
      <c r="F33" s="305"/>
      <c r="G33" s="305"/>
      <c r="H33" s="306"/>
    </row>
    <row r="34" spans="1:13" s="6" customFormat="1" ht="69.95" customHeight="1" x14ac:dyDescent="0.2">
      <c r="A34" s="276"/>
      <c r="B34" s="9" t="s">
        <v>2289</v>
      </c>
      <c r="C34" s="7"/>
      <c r="D34" s="7"/>
      <c r="E34" s="307"/>
      <c r="F34" s="308"/>
      <c r="G34" s="308"/>
      <c r="H34" s="309"/>
    </row>
    <row r="35" spans="1:13" s="6" customFormat="1" x14ac:dyDescent="0.2">
      <c r="A35" s="276">
        <v>46183</v>
      </c>
      <c r="B35" s="74" t="s">
        <v>2312</v>
      </c>
      <c r="C35" s="11"/>
      <c r="D35" s="11"/>
      <c r="E35" s="310"/>
      <c r="F35" s="311"/>
      <c r="G35" s="311"/>
      <c r="H35" s="312"/>
    </row>
    <row r="36" spans="1:13" s="6" customFormat="1" x14ac:dyDescent="0.2">
      <c r="A36" s="276"/>
      <c r="B36" s="238" t="s">
        <v>320</v>
      </c>
      <c r="C36" s="7"/>
      <c r="D36" s="7"/>
      <c r="E36" s="313"/>
      <c r="F36" s="314"/>
      <c r="G36" s="314"/>
      <c r="H36" s="315"/>
    </row>
    <row r="37" spans="1:13" s="6" customFormat="1" ht="80.099999999999994" customHeight="1" x14ac:dyDescent="0.2">
      <c r="A37" s="276"/>
      <c r="B37" s="9" t="s">
        <v>2301</v>
      </c>
      <c r="C37" s="9"/>
      <c r="D37" s="7"/>
      <c r="E37" s="316"/>
      <c r="F37" s="317"/>
      <c r="G37" s="317"/>
      <c r="H37" s="318"/>
    </row>
    <row r="38" spans="1:13" s="6" customFormat="1" x14ac:dyDescent="0.2">
      <c r="A38" s="276">
        <v>46184</v>
      </c>
      <c r="B38" s="56" t="s">
        <v>2349</v>
      </c>
      <c r="C38" s="56" t="s">
        <v>2350</v>
      </c>
      <c r="D38" s="53"/>
      <c r="E38" s="292"/>
      <c r="F38" s="293"/>
      <c r="G38" s="293"/>
      <c r="H38" s="294"/>
    </row>
    <row r="39" spans="1:13" s="6" customFormat="1" x14ac:dyDescent="0.2">
      <c r="A39" s="276"/>
      <c r="B39" s="236" t="s">
        <v>550</v>
      </c>
      <c r="C39" s="236" t="s">
        <v>801</v>
      </c>
      <c r="D39" s="235"/>
      <c r="E39" s="295"/>
      <c r="F39" s="296"/>
      <c r="G39" s="296"/>
      <c r="H39" s="297"/>
    </row>
    <row r="40" spans="1:13" s="6" customFormat="1" ht="65.099999999999994" customHeight="1" x14ac:dyDescent="0.2">
      <c r="A40" s="276"/>
      <c r="B40" s="9" t="s">
        <v>2339</v>
      </c>
      <c r="C40" s="9" t="s">
        <v>2340</v>
      </c>
      <c r="D40" s="7"/>
      <c r="E40" s="298"/>
      <c r="F40" s="299"/>
      <c r="G40" s="299"/>
      <c r="H40" s="300"/>
    </row>
    <row r="41" spans="1:13" s="6" customFormat="1" x14ac:dyDescent="0.2">
      <c r="A41" s="276">
        <v>46185</v>
      </c>
      <c r="B41" s="115" t="s">
        <v>2502</v>
      </c>
      <c r="C41" s="53"/>
      <c r="D41" s="53"/>
      <c r="E41" s="310" t="s">
        <v>2503</v>
      </c>
      <c r="F41" s="311"/>
      <c r="G41" s="311"/>
      <c r="H41" s="312"/>
    </row>
    <row r="42" spans="1:13" s="6" customFormat="1" x14ac:dyDescent="0.2">
      <c r="A42" s="276"/>
      <c r="B42" s="238" t="s">
        <v>811</v>
      </c>
      <c r="C42" s="235"/>
      <c r="D42" s="235"/>
      <c r="E42" s="313"/>
      <c r="F42" s="314"/>
      <c r="G42" s="314"/>
      <c r="H42" s="315"/>
    </row>
    <row r="43" spans="1:13" s="6" customFormat="1" ht="68.25" x14ac:dyDescent="0.2">
      <c r="A43" s="276"/>
      <c r="B43" s="9" t="s">
        <v>2363</v>
      </c>
      <c r="C43" s="7"/>
      <c r="D43" s="7"/>
      <c r="E43" s="316"/>
      <c r="F43" s="317"/>
      <c r="G43" s="317"/>
      <c r="H43" s="318"/>
    </row>
    <row r="44" spans="1:13" s="6" customFormat="1" x14ac:dyDescent="0.2">
      <c r="A44" s="157" t="s">
        <v>1274</v>
      </c>
      <c r="B44" s="143">
        <f>B45+B46</f>
        <v>5</v>
      </c>
      <c r="C44" s="143">
        <f t="shared" ref="C44:D44" si="1">C45+C46</f>
        <v>1</v>
      </c>
      <c r="D44" s="143">
        <f t="shared" si="1"/>
        <v>0</v>
      </c>
      <c r="E44" s="149">
        <f>SUM(B44:D44)</f>
        <v>6</v>
      </c>
      <c r="F44" s="108"/>
      <c r="G44" s="108"/>
      <c r="H44" s="108"/>
    </row>
    <row r="45" spans="1:13" s="6" customFormat="1" x14ac:dyDescent="0.2">
      <c r="A45" s="157" t="s">
        <v>1275</v>
      </c>
      <c r="B45" s="143">
        <v>4</v>
      </c>
      <c r="C45" s="3">
        <v>1</v>
      </c>
      <c r="D45" s="3">
        <v>0</v>
      </c>
      <c r="E45" s="149">
        <f>SUM(B45:D45)</f>
        <v>5</v>
      </c>
      <c r="F45" s="108"/>
      <c r="G45" s="108"/>
      <c r="H45" s="108"/>
    </row>
    <row r="46" spans="1:13" s="6" customFormat="1" x14ac:dyDescent="0.2">
      <c r="A46" s="158" t="s">
        <v>1276</v>
      </c>
      <c r="B46" s="146">
        <v>1</v>
      </c>
      <c r="C46" s="147">
        <v>0</v>
      </c>
      <c r="D46" s="3">
        <v>0</v>
      </c>
      <c r="E46" s="150">
        <f>SUM(B46:D46)</f>
        <v>1</v>
      </c>
      <c r="F46" s="108"/>
      <c r="G46" s="108"/>
      <c r="H46" s="108"/>
    </row>
    <row r="47" spans="1:13" x14ac:dyDescent="0.2">
      <c r="C47" s="2"/>
      <c r="D47" s="2"/>
      <c r="E47" s="2"/>
      <c r="F47" s="2"/>
      <c r="G47" s="2"/>
      <c r="H47" s="2"/>
    </row>
    <row r="48" spans="1:13" x14ac:dyDescent="0.2">
      <c r="A48" s="279" t="s">
        <v>96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38"/>
      <c r="M48" s="38"/>
    </row>
    <row r="49" spans="1:11" ht="28.9" customHeight="1" x14ac:dyDescent="0.2">
      <c r="A49" s="280" t="s">
        <v>34</v>
      </c>
      <c r="B49" s="4" t="s">
        <v>97</v>
      </c>
      <c r="C49" s="5" t="s">
        <v>98</v>
      </c>
      <c r="D49" s="5" t="s">
        <v>99</v>
      </c>
      <c r="E49" s="5" t="s">
        <v>100</v>
      </c>
      <c r="F49" s="5" t="s">
        <v>101</v>
      </c>
      <c r="G49" s="5" t="s">
        <v>2126</v>
      </c>
      <c r="H49" s="5"/>
      <c r="I49" s="291" t="s">
        <v>8</v>
      </c>
      <c r="J49" s="291"/>
      <c r="K49" s="291"/>
    </row>
    <row r="50" spans="1:11" x14ac:dyDescent="0.2">
      <c r="A50" s="280"/>
      <c r="B50" s="14" t="s">
        <v>103</v>
      </c>
      <c r="C50" s="15" t="s">
        <v>104</v>
      </c>
      <c r="D50" s="15" t="s">
        <v>42</v>
      </c>
      <c r="E50" s="15" t="s">
        <v>105</v>
      </c>
      <c r="F50" s="15" t="s">
        <v>106</v>
      </c>
      <c r="G50" s="15" t="s">
        <v>107</v>
      </c>
      <c r="H50" s="15"/>
      <c r="I50" s="291"/>
      <c r="J50" s="291"/>
      <c r="K50" s="291"/>
    </row>
    <row r="51" spans="1:11" x14ac:dyDescent="0.2">
      <c r="A51" s="379">
        <v>46181</v>
      </c>
      <c r="B51" s="61" t="s">
        <v>412</v>
      </c>
      <c r="C51" s="61" t="s">
        <v>2475</v>
      </c>
      <c r="D51" s="61" t="s">
        <v>2505</v>
      </c>
      <c r="E51" s="61" t="s">
        <v>2366</v>
      </c>
      <c r="F51" s="61" t="s">
        <v>413</v>
      </c>
      <c r="G51" s="61" t="s">
        <v>2368</v>
      </c>
      <c r="H51" s="61"/>
      <c r="I51" s="278"/>
      <c r="J51" s="278"/>
      <c r="K51" s="278"/>
    </row>
    <row r="52" spans="1:11" x14ac:dyDescent="0.2">
      <c r="A52" s="379"/>
      <c r="B52" s="4" t="s">
        <v>328</v>
      </c>
      <c r="C52" s="4" t="s">
        <v>1874</v>
      </c>
      <c r="D52" s="4" t="s">
        <v>1447</v>
      </c>
      <c r="E52" s="4" t="s">
        <v>2367</v>
      </c>
      <c r="F52" s="4" t="s">
        <v>2473</v>
      </c>
      <c r="G52" s="4" t="s">
        <v>2369</v>
      </c>
      <c r="H52" s="4"/>
      <c r="I52" s="278"/>
      <c r="J52" s="278"/>
      <c r="K52" s="278"/>
    </row>
    <row r="53" spans="1:11" ht="45" customHeight="1" x14ac:dyDescent="0.2">
      <c r="A53" s="379"/>
      <c r="B53" s="9">
        <v>8260100904</v>
      </c>
      <c r="C53" s="121" t="s">
        <v>2472</v>
      </c>
      <c r="D53" s="9">
        <v>8260100911</v>
      </c>
      <c r="E53" s="9">
        <v>8260100891</v>
      </c>
      <c r="F53" s="9" t="s">
        <v>2474</v>
      </c>
      <c r="G53" s="9">
        <v>8260100886</v>
      </c>
      <c r="H53" s="9"/>
      <c r="I53" s="278"/>
      <c r="J53" s="278"/>
      <c r="K53" s="278"/>
    </row>
    <row r="54" spans="1:11" x14ac:dyDescent="0.2">
      <c r="A54" s="276">
        <v>46182</v>
      </c>
      <c r="B54" s="61" t="s">
        <v>2476</v>
      </c>
      <c r="C54" s="61" t="s">
        <v>2477</v>
      </c>
      <c r="D54" s="61" t="s">
        <v>2408</v>
      </c>
      <c r="E54" s="61" t="s">
        <v>2390</v>
      </c>
      <c r="F54" s="61" t="s">
        <v>2479</v>
      </c>
      <c r="G54" s="61" t="s">
        <v>2407</v>
      </c>
      <c r="H54" s="61"/>
      <c r="I54" s="319"/>
      <c r="J54" s="319"/>
      <c r="K54" s="319"/>
    </row>
    <row r="55" spans="1:11" x14ac:dyDescent="0.2">
      <c r="A55" s="276"/>
      <c r="B55" s="4" t="s">
        <v>793</v>
      </c>
      <c r="C55" s="4" t="s">
        <v>328</v>
      </c>
      <c r="D55" s="4" t="s">
        <v>2409</v>
      </c>
      <c r="E55" s="4" t="s">
        <v>2387</v>
      </c>
      <c r="F55" s="4" t="s">
        <v>2473</v>
      </c>
      <c r="G55" s="4" t="s">
        <v>2369</v>
      </c>
      <c r="H55" s="4"/>
      <c r="I55" s="319"/>
      <c r="J55" s="319"/>
      <c r="K55" s="319"/>
    </row>
    <row r="56" spans="1:11" ht="45" customHeight="1" x14ac:dyDescent="0.2">
      <c r="A56" s="276"/>
      <c r="B56" s="9">
        <v>8260100953</v>
      </c>
      <c r="C56" s="9" t="s">
        <v>2478</v>
      </c>
      <c r="D56" s="9">
        <v>8260100965</v>
      </c>
      <c r="E56" s="9">
        <v>8260100960</v>
      </c>
      <c r="F56" s="9" t="s">
        <v>2480</v>
      </c>
      <c r="G56" s="9">
        <v>8260100971</v>
      </c>
      <c r="H56" s="9"/>
      <c r="I56" s="319"/>
      <c r="J56" s="319"/>
      <c r="K56" s="319"/>
    </row>
    <row r="57" spans="1:11" x14ac:dyDescent="0.2">
      <c r="A57" s="276">
        <v>46183</v>
      </c>
      <c r="B57" s="61" t="s">
        <v>541</v>
      </c>
      <c r="C57" s="61" t="s">
        <v>2483</v>
      </c>
      <c r="D57" s="61" t="s">
        <v>2484</v>
      </c>
      <c r="E57" s="61" t="s">
        <v>2410</v>
      </c>
      <c r="F57" s="61" t="s">
        <v>2485</v>
      </c>
      <c r="G57" s="61"/>
      <c r="H57" s="61"/>
      <c r="I57" s="278"/>
      <c r="J57" s="278"/>
      <c r="K57" s="278"/>
    </row>
    <row r="58" spans="1:11" x14ac:dyDescent="0.2">
      <c r="A58" s="276"/>
      <c r="B58" s="4" t="s">
        <v>2481</v>
      </c>
      <c r="C58" s="4" t="s">
        <v>328</v>
      </c>
      <c r="D58" s="4" t="s">
        <v>1027</v>
      </c>
      <c r="E58" s="4" t="s">
        <v>570</v>
      </c>
      <c r="F58" s="4" t="s">
        <v>2473</v>
      </c>
      <c r="G58" s="4"/>
      <c r="H58" s="4"/>
      <c r="I58" s="278"/>
      <c r="J58" s="278"/>
      <c r="K58" s="278"/>
    </row>
    <row r="59" spans="1:11" ht="45" customHeight="1" x14ac:dyDescent="0.2">
      <c r="A59" s="276"/>
      <c r="B59" s="9">
        <v>8260101040</v>
      </c>
      <c r="C59" s="121" t="s">
        <v>2482</v>
      </c>
      <c r="D59" s="9">
        <v>8260101030</v>
      </c>
      <c r="E59" s="9">
        <v>8260101042</v>
      </c>
      <c r="F59" s="9">
        <v>8260101043</v>
      </c>
      <c r="G59" s="9"/>
      <c r="H59" s="9"/>
      <c r="I59" s="278"/>
      <c r="J59" s="278"/>
      <c r="K59" s="278"/>
    </row>
    <row r="60" spans="1:11" ht="15" customHeight="1" x14ac:dyDescent="0.2">
      <c r="A60" s="276">
        <v>46184</v>
      </c>
      <c r="B60" s="61" t="s">
        <v>2488</v>
      </c>
      <c r="C60" s="61" t="s">
        <v>2486</v>
      </c>
      <c r="D60" s="61" t="s">
        <v>2439</v>
      </c>
      <c r="E60" s="61" t="s">
        <v>2440</v>
      </c>
      <c r="F60" s="61" t="s">
        <v>2489</v>
      </c>
      <c r="G60" s="61" t="s">
        <v>2508</v>
      </c>
      <c r="H60" s="61"/>
      <c r="I60" s="278"/>
      <c r="J60" s="278"/>
      <c r="K60" s="278"/>
    </row>
    <row r="61" spans="1:11" ht="15" customHeight="1" x14ac:dyDescent="0.2">
      <c r="A61" s="276"/>
      <c r="B61" s="4" t="s">
        <v>793</v>
      </c>
      <c r="C61" s="4" t="s">
        <v>328</v>
      </c>
      <c r="D61" s="4" t="s">
        <v>323</v>
      </c>
      <c r="E61" s="4" t="s">
        <v>2367</v>
      </c>
      <c r="F61" s="4" t="s">
        <v>2473</v>
      </c>
      <c r="G61" s="4" t="s">
        <v>2369</v>
      </c>
      <c r="H61" s="4"/>
      <c r="I61" s="278"/>
      <c r="J61" s="278"/>
      <c r="K61" s="278"/>
    </row>
    <row r="62" spans="1:11" ht="45" customHeight="1" x14ac:dyDescent="0.2">
      <c r="A62" s="276"/>
      <c r="B62" s="9">
        <v>8260101140</v>
      </c>
      <c r="C62" s="121" t="s">
        <v>2487</v>
      </c>
      <c r="D62" s="9">
        <v>8260101122</v>
      </c>
      <c r="E62" s="9">
        <v>8260101141</v>
      </c>
      <c r="F62" s="9" t="s">
        <v>2490</v>
      </c>
      <c r="G62" s="9">
        <v>8260101138</v>
      </c>
      <c r="H62" s="9"/>
      <c r="I62" s="278"/>
      <c r="J62" s="278"/>
      <c r="K62" s="278"/>
    </row>
    <row r="63" spans="1:11" x14ac:dyDescent="0.2">
      <c r="A63" s="276">
        <v>46185</v>
      </c>
      <c r="B63" s="61" t="s">
        <v>546</v>
      </c>
      <c r="C63" s="61" t="s">
        <v>2492</v>
      </c>
      <c r="D63" s="61" t="s">
        <v>2493</v>
      </c>
      <c r="E63" s="61" t="s">
        <v>2441</v>
      </c>
      <c r="F63" s="61" t="s">
        <v>2495</v>
      </c>
      <c r="G63" s="61" t="s">
        <v>2508</v>
      </c>
      <c r="H63" s="61"/>
      <c r="I63" s="319"/>
      <c r="J63" s="319"/>
      <c r="K63" s="319"/>
    </row>
    <row r="64" spans="1:11" x14ac:dyDescent="0.2">
      <c r="A64" s="276"/>
      <c r="B64" s="4" t="s">
        <v>2491</v>
      </c>
      <c r="C64" s="4" t="s">
        <v>793</v>
      </c>
      <c r="D64" s="4" t="s">
        <v>328</v>
      </c>
      <c r="E64" s="4" t="s">
        <v>2371</v>
      </c>
      <c r="F64" s="4" t="s">
        <v>2473</v>
      </c>
      <c r="G64" s="4" t="s">
        <v>2369</v>
      </c>
      <c r="H64" s="4"/>
      <c r="I64" s="319"/>
      <c r="J64" s="319"/>
      <c r="K64" s="319"/>
    </row>
    <row r="65" spans="1:16" s="6" customFormat="1" ht="45" customHeight="1" x14ac:dyDescent="0.2">
      <c r="A65" s="276"/>
      <c r="B65" s="9">
        <v>8260101205</v>
      </c>
      <c r="C65" s="121" t="s">
        <v>2494</v>
      </c>
      <c r="D65" s="121">
        <v>8260101196</v>
      </c>
      <c r="E65" s="9">
        <v>8260101202</v>
      </c>
      <c r="F65" s="9">
        <v>8260101186</v>
      </c>
      <c r="G65" s="9">
        <v>8260101193</v>
      </c>
      <c r="H65" s="9"/>
      <c r="I65" s="319"/>
      <c r="J65" s="319"/>
      <c r="K65" s="319"/>
    </row>
    <row r="66" spans="1:16" s="6" customFormat="1" x14ac:dyDescent="0.2">
      <c r="A66" s="157" t="s">
        <v>1274</v>
      </c>
      <c r="B66" s="143">
        <f>B67+B68</f>
        <v>5</v>
      </c>
      <c r="C66" s="143">
        <f t="shared" ref="C66:G66" si="2">C67+C68</f>
        <v>5</v>
      </c>
      <c r="D66" s="143">
        <f t="shared" si="2"/>
        <v>5</v>
      </c>
      <c r="E66" s="143">
        <f t="shared" si="2"/>
        <v>5</v>
      </c>
      <c r="F66" s="143">
        <f t="shared" si="2"/>
        <v>5</v>
      </c>
      <c r="G66" s="143">
        <f t="shared" si="2"/>
        <v>4</v>
      </c>
      <c r="H66" s="143"/>
      <c r="I66" s="113">
        <f>SUM(B66:H66)</f>
        <v>29</v>
      </c>
      <c r="J66" s="145"/>
      <c r="K66" s="145"/>
    </row>
    <row r="67" spans="1:16" s="6" customFormat="1" x14ac:dyDescent="0.2">
      <c r="A67" s="157" t="s">
        <v>1275</v>
      </c>
      <c r="B67" s="143">
        <v>5</v>
      </c>
      <c r="C67" s="143">
        <v>5</v>
      </c>
      <c r="D67" s="143">
        <v>5</v>
      </c>
      <c r="E67" s="143">
        <v>5</v>
      </c>
      <c r="F67" s="143">
        <v>5</v>
      </c>
      <c r="G67" s="143">
        <v>4</v>
      </c>
      <c r="H67" s="143"/>
      <c r="I67" s="113">
        <f>SUM(B67:H67)</f>
        <v>29</v>
      </c>
      <c r="J67" s="145"/>
      <c r="K67" s="145"/>
    </row>
    <row r="68" spans="1:16" s="6" customFormat="1" x14ac:dyDescent="0.2">
      <c r="A68" s="158" t="s">
        <v>1276</v>
      </c>
      <c r="B68" s="146">
        <v>0</v>
      </c>
      <c r="C68" s="146">
        <v>0</v>
      </c>
      <c r="D68" s="146">
        <v>0</v>
      </c>
      <c r="E68" s="146">
        <v>0</v>
      </c>
      <c r="F68" s="146">
        <v>0</v>
      </c>
      <c r="G68" s="146">
        <v>0</v>
      </c>
      <c r="H68" s="146"/>
      <c r="I68" s="151">
        <f>SUM(B68:H68)</f>
        <v>0</v>
      </c>
      <c r="J68" s="145"/>
      <c r="K68" s="145"/>
    </row>
    <row r="69" spans="1:16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6" x14ac:dyDescent="0.2">
      <c r="A70" s="279" t="s">
        <v>143</v>
      </c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38"/>
      <c r="O70" s="38"/>
      <c r="P70" s="38"/>
    </row>
    <row r="71" spans="1:16" ht="43.15" customHeight="1" x14ac:dyDescent="0.2">
      <c r="A71" s="280" t="s">
        <v>34</v>
      </c>
      <c r="B71" s="5" t="s">
        <v>144</v>
      </c>
      <c r="C71" s="5" t="s">
        <v>145</v>
      </c>
      <c r="D71" s="5" t="s">
        <v>146</v>
      </c>
      <c r="E71" s="5" t="s">
        <v>662</v>
      </c>
      <c r="F71" s="5" t="s">
        <v>148</v>
      </c>
      <c r="G71" s="5" t="s">
        <v>149</v>
      </c>
      <c r="H71" s="5" t="s">
        <v>150</v>
      </c>
      <c r="I71" s="5" t="s">
        <v>151</v>
      </c>
      <c r="J71" s="5" t="s">
        <v>152</v>
      </c>
      <c r="K71" s="5" t="s">
        <v>663</v>
      </c>
      <c r="L71" s="5"/>
      <c r="M71" s="282" t="s">
        <v>8</v>
      </c>
    </row>
    <row r="72" spans="1:16" x14ac:dyDescent="0.2">
      <c r="A72" s="280"/>
      <c r="B72" s="15" t="s">
        <v>153</v>
      </c>
      <c r="C72" s="15" t="s">
        <v>153</v>
      </c>
      <c r="D72" s="15" t="s">
        <v>154</v>
      </c>
      <c r="E72" s="15" t="s">
        <v>155</v>
      </c>
      <c r="F72" s="15" t="s">
        <v>156</v>
      </c>
      <c r="G72" s="15" t="s">
        <v>156</v>
      </c>
      <c r="H72" s="15" t="s">
        <v>45</v>
      </c>
      <c r="I72" s="15" t="s">
        <v>157</v>
      </c>
      <c r="J72" s="15" t="s">
        <v>157</v>
      </c>
      <c r="K72" s="15" t="s">
        <v>106</v>
      </c>
      <c r="L72" s="15"/>
      <c r="M72" s="282"/>
    </row>
    <row r="73" spans="1:16" x14ac:dyDescent="0.2">
      <c r="A73" s="379">
        <v>46181</v>
      </c>
      <c r="B73" s="61" t="s">
        <v>2370</v>
      </c>
      <c r="C73" s="61" t="s">
        <v>2372</v>
      </c>
      <c r="D73" s="61" t="s">
        <v>2374</v>
      </c>
      <c r="E73" s="61" t="s">
        <v>2375</v>
      </c>
      <c r="F73" s="61" t="s">
        <v>2376</v>
      </c>
      <c r="G73" s="61" t="s">
        <v>2377</v>
      </c>
      <c r="H73" s="61" t="s">
        <v>2379</v>
      </c>
      <c r="I73" s="61"/>
      <c r="J73" s="53"/>
      <c r="K73" s="66"/>
      <c r="L73" s="66"/>
      <c r="M73" s="323"/>
    </row>
    <row r="74" spans="1:16" x14ac:dyDescent="0.2">
      <c r="A74" s="379"/>
      <c r="B74" s="4" t="s">
        <v>2371</v>
      </c>
      <c r="C74" s="4" t="s">
        <v>2373</v>
      </c>
      <c r="D74" s="4" t="s">
        <v>2373</v>
      </c>
      <c r="E74" s="4" t="s">
        <v>2373</v>
      </c>
      <c r="F74" s="4" t="s">
        <v>2371</v>
      </c>
      <c r="G74" s="4" t="s">
        <v>2378</v>
      </c>
      <c r="H74" s="4" t="s">
        <v>2378</v>
      </c>
      <c r="I74" s="4"/>
      <c r="J74" s="235"/>
      <c r="K74" s="78"/>
      <c r="L74" s="78"/>
      <c r="M74" s="324"/>
    </row>
    <row r="75" spans="1:16" ht="45" customHeight="1" x14ac:dyDescent="0.2">
      <c r="A75" s="379"/>
      <c r="B75" s="9">
        <v>8260100914</v>
      </c>
      <c r="C75" s="9" t="s">
        <v>2268</v>
      </c>
      <c r="D75" s="9">
        <v>8260100882</v>
      </c>
      <c r="E75" s="9">
        <v>8260100915</v>
      </c>
      <c r="F75" s="9">
        <v>8260100912</v>
      </c>
      <c r="G75" s="9">
        <v>8260100908</v>
      </c>
      <c r="H75" s="9">
        <v>8260100902</v>
      </c>
      <c r="I75" s="9"/>
      <c r="J75" s="7"/>
      <c r="K75" s="9"/>
      <c r="L75" s="9"/>
      <c r="M75" s="325"/>
    </row>
    <row r="76" spans="1:16" x14ac:dyDescent="0.2">
      <c r="A76" s="276">
        <v>46182</v>
      </c>
      <c r="B76" s="61" t="s">
        <v>2391</v>
      </c>
      <c r="C76" s="61" t="s">
        <v>2392</v>
      </c>
      <c r="D76" s="61" t="s">
        <v>2394</v>
      </c>
      <c r="E76" s="61" t="s">
        <v>2395</v>
      </c>
      <c r="F76" s="61" t="s">
        <v>2396</v>
      </c>
      <c r="G76" s="61" t="s">
        <v>2397</v>
      </c>
      <c r="H76" s="61" t="s">
        <v>2398</v>
      </c>
      <c r="I76" s="61"/>
      <c r="J76" s="51" t="s">
        <v>2427</v>
      </c>
      <c r="K76" s="66"/>
      <c r="L76" s="66"/>
      <c r="M76" s="323" t="s">
        <v>2428</v>
      </c>
    </row>
    <row r="77" spans="1:16" x14ac:dyDescent="0.2">
      <c r="A77" s="276"/>
      <c r="B77" s="4" t="s">
        <v>1898</v>
      </c>
      <c r="C77" s="4" t="s">
        <v>2393</v>
      </c>
      <c r="D77" s="4" t="s">
        <v>2393</v>
      </c>
      <c r="E77" s="4" t="s">
        <v>1898</v>
      </c>
      <c r="F77" s="4" t="s">
        <v>1898</v>
      </c>
      <c r="G77" s="4" t="s">
        <v>2387</v>
      </c>
      <c r="H77" s="4" t="s">
        <v>2387</v>
      </c>
      <c r="I77" s="4"/>
      <c r="J77" s="235" t="s">
        <v>2393</v>
      </c>
      <c r="K77" s="78"/>
      <c r="L77" s="78"/>
      <c r="M77" s="324"/>
    </row>
    <row r="78" spans="1:16" ht="45" customHeight="1" x14ac:dyDescent="0.2">
      <c r="A78" s="276"/>
      <c r="B78" s="9">
        <v>8260100977</v>
      </c>
      <c r="C78" s="9" t="s">
        <v>2292</v>
      </c>
      <c r="D78" s="9">
        <v>8260100950</v>
      </c>
      <c r="E78" s="9">
        <v>8260100975</v>
      </c>
      <c r="F78" s="9">
        <v>8260100951</v>
      </c>
      <c r="G78" s="9">
        <v>8260100981</v>
      </c>
      <c r="H78" s="9">
        <v>8260100966</v>
      </c>
      <c r="I78" s="9"/>
      <c r="J78" s="7">
        <v>8260100949</v>
      </c>
      <c r="K78" s="9"/>
      <c r="L78" s="9"/>
      <c r="M78" s="325"/>
    </row>
    <row r="79" spans="1:16" x14ac:dyDescent="0.2">
      <c r="A79" s="276">
        <v>46183</v>
      </c>
      <c r="B79" s="61" t="s">
        <v>2411</v>
      </c>
      <c r="C79" s="61" t="s">
        <v>2412</v>
      </c>
      <c r="D79" s="61" t="s">
        <v>2413</v>
      </c>
      <c r="E79" s="61" t="s">
        <v>2414</v>
      </c>
      <c r="F79" s="61" t="s">
        <v>2415</v>
      </c>
      <c r="G79" s="61" t="s">
        <v>2416</v>
      </c>
      <c r="H79" s="61" t="s">
        <v>2417</v>
      </c>
      <c r="I79" s="61"/>
      <c r="J79" s="53"/>
      <c r="K79" s="66"/>
      <c r="L79" s="66"/>
      <c r="M79" s="404"/>
    </row>
    <row r="80" spans="1:16" x14ac:dyDescent="0.2">
      <c r="A80" s="276"/>
      <c r="B80" s="4" t="s">
        <v>2371</v>
      </c>
      <c r="C80" s="4"/>
      <c r="D80" s="4" t="s">
        <v>2371</v>
      </c>
      <c r="E80" s="4" t="s">
        <v>2373</v>
      </c>
      <c r="F80" s="4" t="s">
        <v>2371</v>
      </c>
      <c r="G80" s="4" t="s">
        <v>2387</v>
      </c>
      <c r="H80" s="4" t="s">
        <v>2387</v>
      </c>
      <c r="I80" s="4"/>
      <c r="J80" s="235"/>
      <c r="K80" s="78"/>
      <c r="L80" s="78"/>
      <c r="M80" s="410"/>
    </row>
    <row r="81" spans="1:13" ht="45" customHeight="1" x14ac:dyDescent="0.2">
      <c r="A81" s="276"/>
      <c r="B81" s="9">
        <v>8260101050</v>
      </c>
      <c r="C81" s="9">
        <v>8260101045</v>
      </c>
      <c r="D81" s="9">
        <v>8260101049</v>
      </c>
      <c r="E81" s="9">
        <v>8260101058</v>
      </c>
      <c r="F81" s="9">
        <v>8260101052</v>
      </c>
      <c r="G81" s="9">
        <v>8260101048</v>
      </c>
      <c r="H81" s="9">
        <v>8260101056</v>
      </c>
      <c r="I81" s="9"/>
      <c r="J81" s="7"/>
      <c r="K81" s="9"/>
      <c r="L81" s="9"/>
      <c r="M81" s="405"/>
    </row>
    <row r="82" spans="1:13" x14ac:dyDescent="0.2">
      <c r="A82" s="276">
        <v>46184</v>
      </c>
      <c r="B82" s="61" t="s">
        <v>2442</v>
      </c>
      <c r="C82" s="61" t="s">
        <v>2443</v>
      </c>
      <c r="D82" s="61" t="s">
        <v>2444</v>
      </c>
      <c r="E82" s="61" t="s">
        <v>2445</v>
      </c>
      <c r="F82" s="61" t="s">
        <v>2446</v>
      </c>
      <c r="G82" s="61" t="s">
        <v>2447</v>
      </c>
      <c r="H82" s="61" t="s">
        <v>2448</v>
      </c>
      <c r="I82" s="61"/>
      <c r="J82" s="53"/>
      <c r="K82" s="66"/>
      <c r="L82" s="66"/>
      <c r="M82" s="323"/>
    </row>
    <row r="83" spans="1:13" x14ac:dyDescent="0.2">
      <c r="A83" s="276"/>
      <c r="B83" s="4" t="s">
        <v>301</v>
      </c>
      <c r="C83" s="4" t="s">
        <v>2371</v>
      </c>
      <c r="D83" s="4" t="s">
        <v>1898</v>
      </c>
      <c r="E83" s="4" t="s">
        <v>2385</v>
      </c>
      <c r="F83" s="4" t="s">
        <v>301</v>
      </c>
      <c r="G83" s="4" t="s">
        <v>1898</v>
      </c>
      <c r="H83" s="4" t="s">
        <v>1898</v>
      </c>
      <c r="I83" s="4"/>
      <c r="J83" s="235"/>
      <c r="K83" s="78"/>
      <c r="L83" s="78"/>
      <c r="M83" s="324"/>
    </row>
    <row r="84" spans="1:13" ht="45" customHeight="1" x14ac:dyDescent="0.2">
      <c r="A84" s="276"/>
      <c r="B84" s="9">
        <v>8260101110</v>
      </c>
      <c r="C84" s="9" t="s">
        <v>2347</v>
      </c>
      <c r="D84" s="9">
        <v>826010118</v>
      </c>
      <c r="E84" s="9">
        <v>8260101128</v>
      </c>
      <c r="F84" s="9">
        <v>8260101119</v>
      </c>
      <c r="G84" s="9">
        <v>8260101139</v>
      </c>
      <c r="H84" s="9">
        <v>8260101112</v>
      </c>
      <c r="I84" s="9"/>
      <c r="J84" s="7"/>
      <c r="K84" s="9"/>
      <c r="L84" s="9"/>
      <c r="M84" s="325"/>
    </row>
    <row r="85" spans="1:13" x14ac:dyDescent="0.2">
      <c r="A85" s="276">
        <v>46185</v>
      </c>
      <c r="B85" s="61" t="s">
        <v>2449</v>
      </c>
      <c r="C85" s="61" t="s">
        <v>2450</v>
      </c>
      <c r="D85" s="61" t="s">
        <v>2451</v>
      </c>
      <c r="E85" s="61" t="s">
        <v>2452</v>
      </c>
      <c r="F85" s="61" t="s">
        <v>2453</v>
      </c>
      <c r="G85" s="61" t="s">
        <v>2454</v>
      </c>
      <c r="H85" s="61" t="s">
        <v>2453</v>
      </c>
      <c r="I85" s="61"/>
      <c r="J85" s="53"/>
      <c r="K85" s="66"/>
      <c r="L85" s="66"/>
      <c r="M85" s="323"/>
    </row>
    <row r="86" spans="1:13" x14ac:dyDescent="0.2">
      <c r="A86" s="276"/>
      <c r="B86" s="4" t="s">
        <v>1447</v>
      </c>
      <c r="C86" s="4" t="s">
        <v>301</v>
      </c>
      <c r="D86" s="4" t="s">
        <v>1898</v>
      </c>
      <c r="E86" s="4" t="s">
        <v>2373</v>
      </c>
      <c r="F86" s="4" t="s">
        <v>1447</v>
      </c>
      <c r="G86" s="4" t="s">
        <v>1898</v>
      </c>
      <c r="H86" s="4" t="s">
        <v>1898</v>
      </c>
      <c r="I86" s="4"/>
      <c r="J86" s="235"/>
      <c r="K86" s="78"/>
      <c r="L86" s="78"/>
      <c r="M86" s="324"/>
    </row>
    <row r="87" spans="1:13" ht="45" customHeight="1" x14ac:dyDescent="0.2">
      <c r="A87" s="276"/>
      <c r="B87" s="9">
        <v>8260101194</v>
      </c>
      <c r="C87" s="9" t="s">
        <v>2364</v>
      </c>
      <c r="D87" s="9">
        <v>8260101204</v>
      </c>
      <c r="E87" s="9">
        <v>8260101192</v>
      </c>
      <c r="F87" s="9">
        <v>8260101175</v>
      </c>
      <c r="G87" s="9">
        <v>8260101195</v>
      </c>
      <c r="H87" s="9">
        <v>8260101178</v>
      </c>
      <c r="I87" s="9"/>
      <c r="J87" s="7"/>
      <c r="K87" s="9"/>
      <c r="L87" s="9"/>
      <c r="M87" s="325"/>
    </row>
    <row r="88" spans="1:13" x14ac:dyDescent="0.2">
      <c r="A88" s="157" t="s">
        <v>1274</v>
      </c>
      <c r="B88" s="143">
        <f>B89+B90</f>
        <v>5</v>
      </c>
      <c r="C88" s="143">
        <f t="shared" ref="C88:K88" si="3">C89+C90</f>
        <v>5</v>
      </c>
      <c r="D88" s="143">
        <f t="shared" si="3"/>
        <v>5</v>
      </c>
      <c r="E88" s="143">
        <f t="shared" si="3"/>
        <v>5</v>
      </c>
      <c r="F88" s="143">
        <f t="shared" si="3"/>
        <v>5</v>
      </c>
      <c r="G88" s="143">
        <f t="shared" si="3"/>
        <v>5</v>
      </c>
      <c r="H88" s="143">
        <f t="shared" si="3"/>
        <v>5</v>
      </c>
      <c r="I88" s="143">
        <f t="shared" si="3"/>
        <v>0</v>
      </c>
      <c r="J88" s="143">
        <f t="shared" si="3"/>
        <v>1</v>
      </c>
      <c r="K88" s="143">
        <f t="shared" si="3"/>
        <v>0</v>
      </c>
      <c r="L88" s="143"/>
      <c r="M88" s="149">
        <f>SUM(B88:L88)</f>
        <v>36</v>
      </c>
    </row>
    <row r="89" spans="1:13" x14ac:dyDescent="0.2">
      <c r="A89" s="157" t="s">
        <v>1275</v>
      </c>
      <c r="B89" s="143">
        <v>5</v>
      </c>
      <c r="C89" s="143">
        <v>5</v>
      </c>
      <c r="D89" s="143">
        <v>5</v>
      </c>
      <c r="E89" s="143">
        <v>5</v>
      </c>
      <c r="F89" s="143">
        <v>5</v>
      </c>
      <c r="G89" s="143">
        <v>5</v>
      </c>
      <c r="H89" s="143">
        <v>5</v>
      </c>
      <c r="I89" s="143">
        <v>0</v>
      </c>
      <c r="J89" s="143">
        <v>0</v>
      </c>
      <c r="K89" s="143">
        <v>0</v>
      </c>
      <c r="L89" s="143"/>
      <c r="M89" s="149">
        <f>SUM(B89:L89)</f>
        <v>35</v>
      </c>
    </row>
    <row r="90" spans="1:13" x14ac:dyDescent="0.2">
      <c r="A90" s="158" t="s">
        <v>1276</v>
      </c>
      <c r="B90" s="146">
        <v>0</v>
      </c>
      <c r="C90" s="146">
        <v>0</v>
      </c>
      <c r="D90" s="146">
        <v>0</v>
      </c>
      <c r="E90" s="146">
        <v>0</v>
      </c>
      <c r="F90" s="146">
        <v>0</v>
      </c>
      <c r="G90" s="146">
        <v>0</v>
      </c>
      <c r="H90" s="146">
        <v>0</v>
      </c>
      <c r="I90" s="146">
        <v>0</v>
      </c>
      <c r="J90" s="146">
        <v>1</v>
      </c>
      <c r="K90" s="146">
        <v>0</v>
      </c>
      <c r="L90" s="146"/>
      <c r="M90" s="150">
        <f>SUM(B90:L90)</f>
        <v>1</v>
      </c>
    </row>
    <row r="92" spans="1:13" ht="28.9" customHeight="1" x14ac:dyDescent="0.2">
      <c r="A92" s="280" t="s">
        <v>34</v>
      </c>
      <c r="B92" s="5" t="s">
        <v>196</v>
      </c>
      <c r="C92" s="5" t="s">
        <v>472</v>
      </c>
      <c r="D92" s="5" t="s">
        <v>198</v>
      </c>
      <c r="E92" s="5" t="s">
        <v>199</v>
      </c>
      <c r="F92" s="5" t="s">
        <v>200</v>
      </c>
      <c r="G92" s="5" t="s">
        <v>201</v>
      </c>
      <c r="H92" s="5" t="s">
        <v>202</v>
      </c>
      <c r="I92" s="5" t="s">
        <v>203</v>
      </c>
      <c r="J92" s="5" t="s">
        <v>204</v>
      </c>
      <c r="K92" s="5" t="s">
        <v>1149</v>
      </c>
      <c r="L92" s="5"/>
      <c r="M92" s="104" t="s">
        <v>8</v>
      </c>
    </row>
    <row r="93" spans="1:13" x14ac:dyDescent="0.2">
      <c r="A93" s="280"/>
      <c r="B93" s="15" t="s">
        <v>153</v>
      </c>
      <c r="C93" s="15" t="s">
        <v>205</v>
      </c>
      <c r="D93" s="15" t="s">
        <v>206</v>
      </c>
      <c r="E93" s="15" t="s">
        <v>207</v>
      </c>
      <c r="F93" s="15" t="s">
        <v>208</v>
      </c>
      <c r="G93" s="15" t="s">
        <v>207</v>
      </c>
      <c r="H93" s="15" t="s">
        <v>103</v>
      </c>
      <c r="I93" s="15" t="s">
        <v>208</v>
      </c>
      <c r="J93" s="15" t="s">
        <v>209</v>
      </c>
      <c r="K93" s="15" t="s">
        <v>1150</v>
      </c>
      <c r="L93" s="15"/>
      <c r="M93" s="104"/>
    </row>
    <row r="94" spans="1:13" x14ac:dyDescent="0.2">
      <c r="A94" s="379">
        <v>46181</v>
      </c>
      <c r="B94" s="61" t="s">
        <v>2380</v>
      </c>
      <c r="C94" s="61" t="s">
        <v>2382</v>
      </c>
      <c r="D94" s="61" t="s">
        <v>2383</v>
      </c>
      <c r="E94" s="61" t="s">
        <v>2384</v>
      </c>
      <c r="F94" s="61" t="s">
        <v>2386</v>
      </c>
      <c r="G94" s="61" t="s">
        <v>2388</v>
      </c>
      <c r="H94" s="61" t="s">
        <v>498</v>
      </c>
      <c r="I94" s="61" t="s">
        <v>2389</v>
      </c>
      <c r="J94" s="66"/>
      <c r="K94" s="66" t="s">
        <v>1322</v>
      </c>
      <c r="L94" s="66"/>
      <c r="M94" s="320"/>
    </row>
    <row r="95" spans="1:13" x14ac:dyDescent="0.2">
      <c r="A95" s="379"/>
      <c r="B95" s="4" t="s">
        <v>2381</v>
      </c>
      <c r="C95" s="4" t="s">
        <v>2381</v>
      </c>
      <c r="D95" s="4" t="s">
        <v>2381</v>
      </c>
      <c r="E95" s="4" t="s">
        <v>2385</v>
      </c>
      <c r="F95" s="4" t="s">
        <v>2387</v>
      </c>
      <c r="G95" s="4" t="s">
        <v>2387</v>
      </c>
      <c r="H95" s="4" t="s">
        <v>2387</v>
      </c>
      <c r="I95" s="4" t="s">
        <v>2367</v>
      </c>
      <c r="J95" s="78"/>
      <c r="K95" s="78" t="s">
        <v>2373</v>
      </c>
      <c r="L95" s="78"/>
      <c r="M95" s="321"/>
    </row>
    <row r="96" spans="1:13" ht="45" customHeight="1" x14ac:dyDescent="0.2">
      <c r="A96" s="379"/>
      <c r="B96" s="9">
        <v>8260100883</v>
      </c>
      <c r="C96" s="9">
        <v>8260100884</v>
      </c>
      <c r="D96" s="9">
        <v>8260100906</v>
      </c>
      <c r="E96" s="9">
        <v>8260100910</v>
      </c>
      <c r="F96" s="9">
        <v>8260100907</v>
      </c>
      <c r="G96" s="9">
        <v>8260100913</v>
      </c>
      <c r="H96" s="9">
        <v>8260100892</v>
      </c>
      <c r="I96" s="9" t="s">
        <v>2269</v>
      </c>
      <c r="J96" s="9"/>
      <c r="K96" s="9">
        <v>8260100896</v>
      </c>
      <c r="L96" s="9"/>
      <c r="M96" s="322"/>
    </row>
    <row r="97" spans="1:13" x14ac:dyDescent="0.2">
      <c r="A97" s="276">
        <v>46182</v>
      </c>
      <c r="B97" s="61" t="s">
        <v>2399</v>
      </c>
      <c r="C97" s="61" t="s">
        <v>2400</v>
      </c>
      <c r="D97" s="61" t="s">
        <v>503</v>
      </c>
      <c r="E97" s="61" t="s">
        <v>2401</v>
      </c>
      <c r="F97" s="61" t="s">
        <v>2402</v>
      </c>
      <c r="G97" s="61" t="s">
        <v>2403</v>
      </c>
      <c r="H97" s="61" t="s">
        <v>2404</v>
      </c>
      <c r="I97" s="61" t="s">
        <v>2405</v>
      </c>
      <c r="J97" s="53"/>
      <c r="K97" s="66" t="s">
        <v>2406</v>
      </c>
      <c r="L97" s="66"/>
      <c r="M97" s="320"/>
    </row>
    <row r="98" spans="1:13" x14ac:dyDescent="0.2">
      <c r="A98" s="276"/>
      <c r="B98" s="4" t="s">
        <v>2381</v>
      </c>
      <c r="C98" s="4" t="s">
        <v>2381</v>
      </c>
      <c r="D98" s="4" t="s">
        <v>2381</v>
      </c>
      <c r="E98" s="4" t="s">
        <v>2381</v>
      </c>
      <c r="F98" s="4" t="s">
        <v>2378</v>
      </c>
      <c r="G98" s="4" t="s">
        <v>2378</v>
      </c>
      <c r="H98" s="4" t="s">
        <v>2378</v>
      </c>
      <c r="I98" s="4" t="s">
        <v>2387</v>
      </c>
      <c r="J98" s="235"/>
      <c r="K98" s="78" t="s">
        <v>2510</v>
      </c>
      <c r="L98" s="78"/>
      <c r="M98" s="321"/>
    </row>
    <row r="99" spans="1:13" ht="45" customHeight="1" x14ac:dyDescent="0.2">
      <c r="A99" s="276"/>
      <c r="B99" s="9">
        <v>8260100952</v>
      </c>
      <c r="C99" s="9">
        <v>8260100972</v>
      </c>
      <c r="D99" s="9">
        <v>8260100979</v>
      </c>
      <c r="E99" s="9">
        <v>8260100973</v>
      </c>
      <c r="F99" s="9">
        <v>826010098</v>
      </c>
      <c r="G99" s="9">
        <v>8260100976</v>
      </c>
      <c r="H99" s="9">
        <v>8260100959</v>
      </c>
      <c r="I99" s="9" t="s">
        <v>2293</v>
      </c>
      <c r="J99" s="7"/>
      <c r="K99" s="9">
        <v>8260100984</v>
      </c>
      <c r="L99" s="9"/>
      <c r="M99" s="322"/>
    </row>
    <row r="100" spans="1:13" x14ac:dyDescent="0.2">
      <c r="A100" s="276">
        <v>46183</v>
      </c>
      <c r="B100" s="61" t="s">
        <v>2418</v>
      </c>
      <c r="C100" s="61" t="s">
        <v>2419</v>
      </c>
      <c r="D100" s="61" t="s">
        <v>2420</v>
      </c>
      <c r="E100" s="61" t="s">
        <v>2421</v>
      </c>
      <c r="F100" s="61" t="s">
        <v>2423</v>
      </c>
      <c r="G100" s="61" t="s">
        <v>515</v>
      </c>
      <c r="H100" s="61" t="s">
        <v>2424</v>
      </c>
      <c r="I100" s="61" t="s">
        <v>2425</v>
      </c>
      <c r="J100" s="53"/>
      <c r="K100" s="66" t="s">
        <v>2426</v>
      </c>
      <c r="L100" s="66"/>
      <c r="M100" s="326"/>
    </row>
    <row r="101" spans="1:13" x14ac:dyDescent="0.2">
      <c r="A101" s="276"/>
      <c r="B101" s="4" t="s">
        <v>2381</v>
      </c>
      <c r="C101" s="4" t="s">
        <v>2381</v>
      </c>
      <c r="D101" s="4" t="s">
        <v>2381</v>
      </c>
      <c r="E101" s="4" t="s">
        <v>2422</v>
      </c>
      <c r="F101" s="4" t="s">
        <v>2378</v>
      </c>
      <c r="G101" s="4" t="s">
        <v>2378</v>
      </c>
      <c r="H101" s="4" t="s">
        <v>2378</v>
      </c>
      <c r="I101" s="4" t="s">
        <v>1898</v>
      </c>
      <c r="J101" s="235"/>
      <c r="K101" s="78" t="s">
        <v>323</v>
      </c>
      <c r="L101" s="78"/>
      <c r="M101" s="327"/>
    </row>
    <row r="102" spans="1:13" ht="45" customHeight="1" x14ac:dyDescent="0.2">
      <c r="A102" s="276"/>
      <c r="B102" s="9">
        <v>8260101055</v>
      </c>
      <c r="C102" s="9">
        <v>8260101057</v>
      </c>
      <c r="D102" s="9">
        <v>8260101054</v>
      </c>
      <c r="E102" s="9">
        <v>8260101051</v>
      </c>
      <c r="F102" s="9">
        <v>8260101061</v>
      </c>
      <c r="G102" s="9">
        <v>8260101053</v>
      </c>
      <c r="H102" s="9">
        <v>8260101047</v>
      </c>
      <c r="I102" s="9" t="s">
        <v>2302</v>
      </c>
      <c r="J102" s="7"/>
      <c r="K102" s="9">
        <v>8260101062</v>
      </c>
      <c r="L102" s="9"/>
      <c r="M102" s="328"/>
    </row>
    <row r="103" spans="1:13" x14ac:dyDescent="0.2">
      <c r="A103" s="276">
        <v>46184</v>
      </c>
      <c r="B103" s="61" t="s">
        <v>2455</v>
      </c>
      <c r="C103" s="61" t="s">
        <v>2456</v>
      </c>
      <c r="D103" s="61" t="s">
        <v>2457</v>
      </c>
      <c r="E103" s="61" t="s">
        <v>2458</v>
      </c>
      <c r="F103" s="61" t="s">
        <v>2459</v>
      </c>
      <c r="G103" s="61" t="s">
        <v>2460</v>
      </c>
      <c r="H103" s="61" t="s">
        <v>2461</v>
      </c>
      <c r="I103" s="61" t="s">
        <v>2462</v>
      </c>
      <c r="J103" s="53"/>
      <c r="K103" s="66" t="s">
        <v>1593</v>
      </c>
      <c r="L103" s="66"/>
      <c r="M103" s="326"/>
    </row>
    <row r="104" spans="1:13" x14ac:dyDescent="0.2">
      <c r="A104" s="276"/>
      <c r="B104" s="4" t="s">
        <v>2381</v>
      </c>
      <c r="C104" s="4" t="s">
        <v>2381</v>
      </c>
      <c r="D104" s="4" t="s">
        <v>2381</v>
      </c>
      <c r="E104" s="4" t="s">
        <v>2378</v>
      </c>
      <c r="F104" s="4" t="s">
        <v>2373</v>
      </c>
      <c r="G104" s="4" t="s">
        <v>2373</v>
      </c>
      <c r="H104" s="4" t="s">
        <v>2387</v>
      </c>
      <c r="I104" s="4" t="s">
        <v>2367</v>
      </c>
      <c r="J104" s="235"/>
      <c r="K104" s="78" t="s">
        <v>2371</v>
      </c>
      <c r="L104" s="78"/>
      <c r="M104" s="327"/>
    </row>
    <row r="105" spans="1:13" ht="45" customHeight="1" x14ac:dyDescent="0.2">
      <c r="A105" s="276"/>
      <c r="B105" s="9">
        <v>8260101130</v>
      </c>
      <c r="C105" s="9">
        <v>8260101109</v>
      </c>
      <c r="D105" s="9">
        <v>8260101114</v>
      </c>
      <c r="E105" s="9">
        <v>8260101115</v>
      </c>
      <c r="F105" s="9">
        <v>8260101124</v>
      </c>
      <c r="G105" s="9">
        <v>8260101123</v>
      </c>
      <c r="H105" s="9">
        <v>8260101111</v>
      </c>
      <c r="I105" s="9" t="s">
        <v>2348</v>
      </c>
      <c r="J105" s="7"/>
      <c r="K105" s="9">
        <v>8260101125</v>
      </c>
      <c r="L105" s="9"/>
      <c r="M105" s="328"/>
    </row>
    <row r="106" spans="1:13" x14ac:dyDescent="0.2">
      <c r="A106" s="276">
        <v>46185</v>
      </c>
      <c r="B106" s="61" t="s">
        <v>2463</v>
      </c>
      <c r="C106" s="61" t="s">
        <v>2464</v>
      </c>
      <c r="D106" s="61" t="s">
        <v>2465</v>
      </c>
      <c r="E106" s="61" t="s">
        <v>2466</v>
      </c>
      <c r="F106" s="61" t="s">
        <v>2467</v>
      </c>
      <c r="G106" s="61" t="s">
        <v>2468</v>
      </c>
      <c r="H106" s="61" t="s">
        <v>2469</v>
      </c>
      <c r="I106" s="61" t="s">
        <v>2470</v>
      </c>
      <c r="J106" s="53"/>
      <c r="K106" s="66" t="s">
        <v>2471</v>
      </c>
      <c r="L106" s="66"/>
      <c r="M106" s="326"/>
    </row>
    <row r="107" spans="1:13" x14ac:dyDescent="0.2">
      <c r="A107" s="276"/>
      <c r="B107" s="4" t="s">
        <v>2381</v>
      </c>
      <c r="C107" s="4" t="s">
        <v>2381</v>
      </c>
      <c r="D107" s="4" t="s">
        <v>2381</v>
      </c>
      <c r="E107" s="4" t="s">
        <v>2381</v>
      </c>
      <c r="F107" s="4" t="s">
        <v>2367</v>
      </c>
      <c r="G107" s="4" t="s">
        <v>2367</v>
      </c>
      <c r="H107" s="4" t="s">
        <v>2378</v>
      </c>
      <c r="I107" s="4" t="s">
        <v>2371</v>
      </c>
      <c r="J107" s="235"/>
      <c r="K107" s="78" t="s">
        <v>301</v>
      </c>
      <c r="L107" s="78"/>
      <c r="M107" s="327"/>
    </row>
    <row r="108" spans="1:13" ht="45" customHeight="1" x14ac:dyDescent="0.2">
      <c r="A108" s="276"/>
      <c r="B108" s="9">
        <v>8260101184</v>
      </c>
      <c r="C108" s="9">
        <v>8260101185</v>
      </c>
      <c r="D108" s="9">
        <v>8260101210</v>
      </c>
      <c r="E108" s="9">
        <v>8260101176</v>
      </c>
      <c r="F108" s="9">
        <v>8260101208</v>
      </c>
      <c r="G108" s="9">
        <v>8260101203</v>
      </c>
      <c r="H108" s="9">
        <v>8260101211</v>
      </c>
      <c r="I108" s="9" t="s">
        <v>2365</v>
      </c>
      <c r="J108" s="7"/>
      <c r="K108" s="9">
        <v>8260101209</v>
      </c>
      <c r="L108" s="9"/>
      <c r="M108" s="328"/>
    </row>
    <row r="109" spans="1:13" x14ac:dyDescent="0.2">
      <c r="A109" s="157" t="s">
        <v>1274</v>
      </c>
      <c r="B109" s="143">
        <f>B110+B111</f>
        <v>5</v>
      </c>
      <c r="C109" s="143">
        <f t="shared" ref="C109:K109" si="4">C110+C111</f>
        <v>5</v>
      </c>
      <c r="D109" s="143">
        <f t="shared" si="4"/>
        <v>5</v>
      </c>
      <c r="E109" s="143">
        <f t="shared" si="4"/>
        <v>5</v>
      </c>
      <c r="F109" s="143">
        <f t="shared" si="4"/>
        <v>5</v>
      </c>
      <c r="G109" s="143">
        <f t="shared" si="4"/>
        <v>5</v>
      </c>
      <c r="H109" s="143">
        <f t="shared" si="4"/>
        <v>5</v>
      </c>
      <c r="I109" s="143">
        <f t="shared" si="4"/>
        <v>5</v>
      </c>
      <c r="J109" s="143">
        <f t="shared" si="4"/>
        <v>0</v>
      </c>
      <c r="K109" s="143">
        <f t="shared" si="4"/>
        <v>5</v>
      </c>
      <c r="L109" s="143"/>
      <c r="M109" s="113">
        <f>SUM(B109:L109)</f>
        <v>45</v>
      </c>
    </row>
    <row r="110" spans="1:13" x14ac:dyDescent="0.2">
      <c r="A110" s="157" t="s">
        <v>1275</v>
      </c>
      <c r="B110" s="143">
        <v>5</v>
      </c>
      <c r="C110" s="143">
        <v>5</v>
      </c>
      <c r="D110" s="143">
        <v>5</v>
      </c>
      <c r="E110" s="143">
        <v>5</v>
      </c>
      <c r="F110" s="143">
        <v>5</v>
      </c>
      <c r="G110" s="143">
        <v>5</v>
      </c>
      <c r="H110" s="143">
        <v>5</v>
      </c>
      <c r="I110" s="143">
        <v>5</v>
      </c>
      <c r="J110" s="143">
        <v>0</v>
      </c>
      <c r="K110" s="143">
        <v>5</v>
      </c>
      <c r="L110" s="143"/>
      <c r="M110" s="113">
        <f>SUM(B110:L110)</f>
        <v>45</v>
      </c>
    </row>
    <row r="111" spans="1:13" x14ac:dyDescent="0.2">
      <c r="A111" s="158" t="s">
        <v>1276</v>
      </c>
      <c r="B111" s="146">
        <v>0</v>
      </c>
      <c r="C111" s="146">
        <v>0</v>
      </c>
      <c r="D111" s="146">
        <v>0</v>
      </c>
      <c r="E111" s="146">
        <v>0</v>
      </c>
      <c r="F111" s="146">
        <v>0</v>
      </c>
      <c r="G111" s="146">
        <v>0</v>
      </c>
      <c r="H111" s="146">
        <v>0</v>
      </c>
      <c r="I111" s="146">
        <v>0</v>
      </c>
      <c r="J111" s="146">
        <v>0</v>
      </c>
      <c r="K111" s="146">
        <v>0</v>
      </c>
      <c r="L111" s="146"/>
      <c r="M111" s="151">
        <f>SUM(B111:L111)</f>
        <v>0</v>
      </c>
    </row>
    <row r="113" spans="1:15" x14ac:dyDescent="0.2">
      <c r="A113" s="279" t="s">
        <v>252</v>
      </c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38"/>
      <c r="O113" s="38"/>
    </row>
    <row r="114" spans="1:15" ht="27.75" x14ac:dyDescent="0.2">
      <c r="A114" s="329" t="s">
        <v>34</v>
      </c>
      <c r="B114" s="82" t="s">
        <v>253</v>
      </c>
      <c r="C114" s="82" t="s">
        <v>254</v>
      </c>
      <c r="D114" s="82" t="s">
        <v>255</v>
      </c>
      <c r="E114" s="82" t="s">
        <v>256</v>
      </c>
      <c r="F114" s="82" t="s">
        <v>257</v>
      </c>
      <c r="G114" s="82" t="s">
        <v>258</v>
      </c>
      <c r="H114" s="82" t="s">
        <v>259</v>
      </c>
      <c r="I114" s="82" t="s">
        <v>260</v>
      </c>
      <c r="J114" s="82"/>
      <c r="K114" s="330" t="s">
        <v>8</v>
      </c>
      <c r="L114" s="330"/>
      <c r="M114" s="330"/>
    </row>
    <row r="115" spans="1:15" x14ac:dyDescent="0.2">
      <c r="A115" s="280"/>
      <c r="B115" s="15" t="s">
        <v>154</v>
      </c>
      <c r="C115" s="15" t="s">
        <v>261</v>
      </c>
      <c r="D115" s="15" t="s">
        <v>262</v>
      </c>
      <c r="E115" s="15" t="s">
        <v>42</v>
      </c>
      <c r="F115" s="15" t="s">
        <v>263</v>
      </c>
      <c r="G115" s="15" t="s">
        <v>264</v>
      </c>
      <c r="H115" s="15" t="s">
        <v>265</v>
      </c>
      <c r="I115" s="15" t="s">
        <v>263</v>
      </c>
      <c r="J115" s="15"/>
      <c r="K115" s="282"/>
      <c r="L115" s="282"/>
      <c r="M115" s="282"/>
    </row>
    <row r="116" spans="1:15" x14ac:dyDescent="0.2">
      <c r="A116" s="379">
        <v>46181</v>
      </c>
      <c r="B116" s="61" t="s">
        <v>412</v>
      </c>
      <c r="C116" s="61" t="s">
        <v>2320</v>
      </c>
      <c r="D116" s="61" t="s">
        <v>2317</v>
      </c>
      <c r="E116" s="61" t="s">
        <v>2317</v>
      </c>
      <c r="F116" s="61" t="s">
        <v>2319</v>
      </c>
      <c r="G116" s="61" t="s">
        <v>2318</v>
      </c>
      <c r="H116" s="61" t="s">
        <v>2316</v>
      </c>
      <c r="I116" s="61"/>
      <c r="J116" s="61"/>
      <c r="K116" s="319"/>
      <c r="L116" s="319"/>
      <c r="M116" s="319"/>
    </row>
    <row r="117" spans="1:15" x14ac:dyDescent="0.2">
      <c r="A117" s="379"/>
      <c r="B117" s="4" t="s">
        <v>1870</v>
      </c>
      <c r="C117" s="4" t="s">
        <v>2322</v>
      </c>
      <c r="D117" s="4" t="s">
        <v>2323</v>
      </c>
      <c r="E117" s="4" t="s">
        <v>2323</v>
      </c>
      <c r="F117" s="4" t="s">
        <v>2323</v>
      </c>
      <c r="G117" s="4" t="s">
        <v>2323</v>
      </c>
      <c r="H117" s="4" t="s">
        <v>2322</v>
      </c>
      <c r="I117" s="4"/>
      <c r="J117" s="4"/>
      <c r="K117" s="319"/>
      <c r="L117" s="319"/>
      <c r="M117" s="319"/>
    </row>
    <row r="118" spans="1:15" ht="45" customHeight="1" x14ac:dyDescent="0.2">
      <c r="A118" s="379"/>
      <c r="B118" s="9" t="s">
        <v>2321</v>
      </c>
      <c r="C118" s="9">
        <v>8260100888</v>
      </c>
      <c r="D118" s="9">
        <v>8260100905</v>
      </c>
      <c r="E118" s="9">
        <v>8260100899</v>
      </c>
      <c r="F118" s="9">
        <v>8260100887</v>
      </c>
      <c r="G118" s="9">
        <v>8260100893</v>
      </c>
      <c r="H118" s="9">
        <v>8260100890</v>
      </c>
      <c r="I118" s="9"/>
      <c r="J118" s="9"/>
      <c r="K118" s="319"/>
      <c r="L118" s="319"/>
      <c r="M118" s="319"/>
    </row>
    <row r="119" spans="1:15" x14ac:dyDescent="0.2">
      <c r="A119" s="276">
        <v>46182</v>
      </c>
      <c r="B119" s="61" t="s">
        <v>2325</v>
      </c>
      <c r="C119" s="61" t="s">
        <v>2328</v>
      </c>
      <c r="D119" s="61" t="s">
        <v>2327</v>
      </c>
      <c r="E119" s="61" t="s">
        <v>2327</v>
      </c>
      <c r="F119" s="61" t="s">
        <v>2324</v>
      </c>
      <c r="G119" s="61" t="s">
        <v>2330</v>
      </c>
      <c r="H119" s="61" t="s">
        <v>2329</v>
      </c>
      <c r="I119" s="61"/>
      <c r="J119" s="61"/>
      <c r="K119" s="319"/>
      <c r="L119" s="319"/>
      <c r="M119" s="319"/>
    </row>
    <row r="120" spans="1:15" x14ac:dyDescent="0.2">
      <c r="A120" s="276"/>
      <c r="B120" s="4" t="s">
        <v>2323</v>
      </c>
      <c r="C120" s="4" t="s">
        <v>2338</v>
      </c>
      <c r="D120" s="4" t="s">
        <v>1870</v>
      </c>
      <c r="E120" s="4" t="s">
        <v>1870</v>
      </c>
      <c r="F120" s="4" t="s">
        <v>1870</v>
      </c>
      <c r="G120" s="4" t="s">
        <v>1870</v>
      </c>
      <c r="H120" s="4" t="s">
        <v>2338</v>
      </c>
      <c r="I120" s="4"/>
      <c r="J120" s="4"/>
      <c r="K120" s="319"/>
      <c r="L120" s="319"/>
      <c r="M120" s="319"/>
    </row>
    <row r="121" spans="1:15" ht="45" customHeight="1" x14ac:dyDescent="0.2">
      <c r="A121" s="276"/>
      <c r="B121" s="9" t="s">
        <v>2326</v>
      </c>
      <c r="C121" s="9">
        <v>8260100982</v>
      </c>
      <c r="D121" s="9">
        <v>8260100954</v>
      </c>
      <c r="E121" s="9">
        <v>8260100970</v>
      </c>
      <c r="F121" s="9">
        <v>8260100963</v>
      </c>
      <c r="G121" s="9">
        <v>8260100967</v>
      </c>
      <c r="H121" s="9">
        <v>8260100955</v>
      </c>
      <c r="I121" s="9"/>
      <c r="J121" s="9"/>
      <c r="K121" s="319"/>
      <c r="L121" s="319"/>
      <c r="M121" s="319"/>
    </row>
    <row r="122" spans="1:15" x14ac:dyDescent="0.2">
      <c r="A122" s="276">
        <v>46183</v>
      </c>
      <c r="B122" s="61" t="s">
        <v>2333</v>
      </c>
      <c r="C122" s="61" t="s">
        <v>2334</v>
      </c>
      <c r="D122" s="61" t="s">
        <v>2331</v>
      </c>
      <c r="E122" s="61" t="s">
        <v>2331</v>
      </c>
      <c r="F122" s="61" t="s">
        <v>2332</v>
      </c>
      <c r="G122" s="61" t="s">
        <v>2336</v>
      </c>
      <c r="H122" s="61" t="s">
        <v>2335</v>
      </c>
      <c r="I122" s="61"/>
      <c r="J122" s="61"/>
      <c r="K122" s="331"/>
      <c r="L122" s="331"/>
      <c r="M122" s="331"/>
    </row>
    <row r="123" spans="1:15" x14ac:dyDescent="0.2">
      <c r="A123" s="276"/>
      <c r="B123" s="4" t="s">
        <v>1870</v>
      </c>
      <c r="C123" s="4" t="s">
        <v>2323</v>
      </c>
      <c r="D123" s="4" t="s">
        <v>1882</v>
      </c>
      <c r="E123" s="4" t="s">
        <v>1882</v>
      </c>
      <c r="F123" s="4" t="s">
        <v>1882</v>
      </c>
      <c r="G123" s="4" t="s">
        <v>1882</v>
      </c>
      <c r="H123" s="4" t="s">
        <v>2323</v>
      </c>
      <c r="I123" s="4"/>
      <c r="J123" s="4"/>
      <c r="K123" s="331"/>
      <c r="L123" s="331"/>
      <c r="M123" s="331"/>
    </row>
    <row r="124" spans="1:15" ht="45" customHeight="1" x14ac:dyDescent="0.2">
      <c r="A124" s="276"/>
      <c r="B124" s="9" t="s">
        <v>2337</v>
      </c>
      <c r="C124" s="9">
        <v>8260101038</v>
      </c>
      <c r="D124" s="9">
        <v>8260101037</v>
      </c>
      <c r="E124" s="9">
        <v>8260101031</v>
      </c>
      <c r="F124" s="9">
        <v>8260101060</v>
      </c>
      <c r="G124" s="9">
        <v>8260101035</v>
      </c>
      <c r="H124" s="9">
        <v>8260101059</v>
      </c>
      <c r="I124" s="9"/>
      <c r="J124" s="9"/>
      <c r="K124" s="331"/>
      <c r="L124" s="331"/>
      <c r="M124" s="331"/>
    </row>
    <row r="125" spans="1:15" x14ac:dyDescent="0.2">
      <c r="A125" s="276">
        <v>46184</v>
      </c>
      <c r="B125" s="61" t="s">
        <v>2432</v>
      </c>
      <c r="C125" s="61" t="s">
        <v>2430</v>
      </c>
      <c r="D125" s="61" t="s">
        <v>1634</v>
      </c>
      <c r="E125" s="61" t="s">
        <v>1634</v>
      </c>
      <c r="F125" s="61" t="s">
        <v>2434</v>
      </c>
      <c r="G125" s="61" t="s">
        <v>2431</v>
      </c>
      <c r="H125" s="61" t="s">
        <v>2429</v>
      </c>
      <c r="I125" s="61"/>
      <c r="J125" s="61"/>
      <c r="K125" s="331"/>
      <c r="L125" s="331"/>
      <c r="M125" s="331"/>
    </row>
    <row r="126" spans="1:15" x14ac:dyDescent="0.2">
      <c r="A126" s="276"/>
      <c r="B126" s="4" t="s">
        <v>1882</v>
      </c>
      <c r="C126" s="4" t="s">
        <v>2338</v>
      </c>
      <c r="D126" s="4" t="s">
        <v>1870</v>
      </c>
      <c r="E126" s="4" t="s">
        <v>1870</v>
      </c>
      <c r="F126" s="4" t="s">
        <v>1870</v>
      </c>
      <c r="G126" s="4" t="s">
        <v>1870</v>
      </c>
      <c r="H126" s="4" t="s">
        <v>2338</v>
      </c>
      <c r="I126" s="4"/>
      <c r="J126" s="4"/>
      <c r="K126" s="331"/>
      <c r="L126" s="331"/>
      <c r="M126" s="331"/>
    </row>
    <row r="127" spans="1:15" ht="45" customHeight="1" x14ac:dyDescent="0.2">
      <c r="A127" s="276"/>
      <c r="B127" s="9" t="s">
        <v>2433</v>
      </c>
      <c r="C127" s="9">
        <v>8260101129</v>
      </c>
      <c r="D127" s="9">
        <v>8260101117</v>
      </c>
      <c r="E127" s="9">
        <v>8260101113</v>
      </c>
      <c r="F127" s="9">
        <v>8260101116</v>
      </c>
      <c r="G127" s="9">
        <v>8260101120</v>
      </c>
      <c r="H127" s="9">
        <v>8260101135</v>
      </c>
      <c r="I127" s="9"/>
      <c r="J127" s="9"/>
      <c r="K127" s="331"/>
      <c r="L127" s="331"/>
      <c r="M127" s="331"/>
    </row>
    <row r="128" spans="1:15" x14ac:dyDescent="0.2">
      <c r="A128" s="276">
        <v>46185</v>
      </c>
      <c r="B128" s="61" t="s">
        <v>2435</v>
      </c>
      <c r="C128" s="61" t="s">
        <v>2437</v>
      </c>
      <c r="D128" s="61" t="s">
        <v>1520</v>
      </c>
      <c r="E128" s="61" t="s">
        <v>1520</v>
      </c>
      <c r="F128" s="61" t="s">
        <v>1639</v>
      </c>
      <c r="G128" s="61" t="s">
        <v>2436</v>
      </c>
      <c r="H128" s="61" t="s">
        <v>2509</v>
      </c>
      <c r="I128" s="61"/>
      <c r="J128" s="61"/>
      <c r="K128" s="278"/>
      <c r="L128" s="278"/>
      <c r="M128" s="278"/>
    </row>
    <row r="129" spans="1:13" x14ac:dyDescent="0.2">
      <c r="A129" s="276"/>
      <c r="B129" s="4" t="s">
        <v>1870</v>
      </c>
      <c r="C129" s="4" t="s">
        <v>2323</v>
      </c>
      <c r="D129" s="4" t="s">
        <v>2323</v>
      </c>
      <c r="E129" s="4" t="s">
        <v>2323</v>
      </c>
      <c r="F129" s="4" t="s">
        <v>2323</v>
      </c>
      <c r="G129" s="4" t="s">
        <v>2323</v>
      </c>
      <c r="H129" s="4" t="s">
        <v>2322</v>
      </c>
      <c r="I129" s="4"/>
      <c r="J129" s="4"/>
      <c r="K129" s="278"/>
      <c r="L129" s="278"/>
      <c r="M129" s="278"/>
    </row>
    <row r="130" spans="1:13" ht="45" customHeight="1" x14ac:dyDescent="0.2">
      <c r="A130" s="276"/>
      <c r="B130" s="9" t="s">
        <v>2438</v>
      </c>
      <c r="C130" s="9">
        <v>8260101182</v>
      </c>
      <c r="D130" s="9">
        <v>8260101199</v>
      </c>
      <c r="E130" s="9">
        <v>8260101187</v>
      </c>
      <c r="F130" s="9">
        <v>8260101181</v>
      </c>
      <c r="G130" s="9">
        <v>8260101201</v>
      </c>
      <c r="H130" s="9">
        <v>8260101183</v>
      </c>
      <c r="I130" s="9"/>
      <c r="J130" s="9"/>
      <c r="K130" s="278"/>
      <c r="L130" s="278"/>
      <c r="M130" s="278"/>
    </row>
    <row r="131" spans="1:13" x14ac:dyDescent="0.2">
      <c r="A131" s="157" t="s">
        <v>1274</v>
      </c>
      <c r="B131" s="143">
        <f>B132+B133</f>
        <v>5</v>
      </c>
      <c r="C131" s="143">
        <f t="shared" ref="C131:I131" si="5">C132+C133</f>
        <v>5</v>
      </c>
      <c r="D131" s="143">
        <f t="shared" si="5"/>
        <v>5</v>
      </c>
      <c r="E131" s="143">
        <f t="shared" si="5"/>
        <v>5</v>
      </c>
      <c r="F131" s="143">
        <f t="shared" si="5"/>
        <v>5</v>
      </c>
      <c r="G131" s="143">
        <f t="shared" si="5"/>
        <v>5</v>
      </c>
      <c r="H131" s="143">
        <f t="shared" si="5"/>
        <v>5</v>
      </c>
      <c r="I131" s="143">
        <f t="shared" si="5"/>
        <v>0</v>
      </c>
      <c r="J131" s="143"/>
      <c r="K131" s="92">
        <f>SUM(B131:J131)</f>
        <v>35</v>
      </c>
    </row>
    <row r="132" spans="1:13" x14ac:dyDescent="0.2">
      <c r="A132" s="157" t="s">
        <v>1275</v>
      </c>
      <c r="B132" s="143">
        <v>5</v>
      </c>
      <c r="C132" s="143">
        <v>5</v>
      </c>
      <c r="D132" s="143">
        <v>5</v>
      </c>
      <c r="E132" s="143">
        <v>5</v>
      </c>
      <c r="F132" s="143">
        <v>5</v>
      </c>
      <c r="G132" s="143">
        <v>5</v>
      </c>
      <c r="H132" s="143">
        <v>5</v>
      </c>
      <c r="I132" s="143">
        <v>0</v>
      </c>
      <c r="J132" s="143"/>
      <c r="K132" s="92">
        <f>SUM(B132:J132)</f>
        <v>35</v>
      </c>
    </row>
    <row r="133" spans="1:13" x14ac:dyDescent="0.2">
      <c r="A133" s="158" t="s">
        <v>1276</v>
      </c>
      <c r="B133" s="146">
        <v>0</v>
      </c>
      <c r="C133" s="146">
        <v>0</v>
      </c>
      <c r="D133" s="146">
        <v>0</v>
      </c>
      <c r="E133" s="146">
        <v>0</v>
      </c>
      <c r="F133" s="146">
        <v>0</v>
      </c>
      <c r="G133" s="146">
        <v>0</v>
      </c>
      <c r="H133" s="146">
        <v>0</v>
      </c>
      <c r="I133" s="146">
        <v>0</v>
      </c>
      <c r="J133" s="146"/>
      <c r="K133" s="152">
        <f>SUM(B133:J133)</f>
        <v>0</v>
      </c>
    </row>
  </sheetData>
  <mergeCells count="80">
    <mergeCell ref="A7:A9"/>
    <mergeCell ref="L7:M9"/>
    <mergeCell ref="A3:M3"/>
    <mergeCell ref="A4:A6"/>
    <mergeCell ref="B4:H4"/>
    <mergeCell ref="I4:K4"/>
    <mergeCell ref="L4:M6"/>
    <mergeCell ref="A10:A12"/>
    <mergeCell ref="L10:M12"/>
    <mergeCell ref="A13:A15"/>
    <mergeCell ref="L13:M15"/>
    <mergeCell ref="A16:A18"/>
    <mergeCell ref="L16:M18"/>
    <mergeCell ref="A19:A21"/>
    <mergeCell ref="L19:M21"/>
    <mergeCell ref="A26:A28"/>
    <mergeCell ref="B26:B27"/>
    <mergeCell ref="C26:C27"/>
    <mergeCell ref="D26:D27"/>
    <mergeCell ref="E26:H27"/>
    <mergeCell ref="A29:A31"/>
    <mergeCell ref="E29:H31"/>
    <mergeCell ref="A32:A34"/>
    <mergeCell ref="E32:H34"/>
    <mergeCell ref="A35:A37"/>
    <mergeCell ref="E35:H37"/>
    <mergeCell ref="A38:A40"/>
    <mergeCell ref="E38:H40"/>
    <mergeCell ref="A41:A43"/>
    <mergeCell ref="A48:K48"/>
    <mergeCell ref="A49:A50"/>
    <mergeCell ref="I49:K50"/>
    <mergeCell ref="E41:H43"/>
    <mergeCell ref="A71:A72"/>
    <mergeCell ref="M71:M72"/>
    <mergeCell ref="A51:A53"/>
    <mergeCell ref="I51:K53"/>
    <mergeCell ref="A54:A56"/>
    <mergeCell ref="I54:K56"/>
    <mergeCell ref="A57:A59"/>
    <mergeCell ref="I57:K59"/>
    <mergeCell ref="A60:A62"/>
    <mergeCell ref="I60:K62"/>
    <mergeCell ref="A63:A65"/>
    <mergeCell ref="I63:K65"/>
    <mergeCell ref="A70:M70"/>
    <mergeCell ref="A94:A96"/>
    <mergeCell ref="M94:M96"/>
    <mergeCell ref="A73:A75"/>
    <mergeCell ref="M73:M75"/>
    <mergeCell ref="A76:A78"/>
    <mergeCell ref="M76:M78"/>
    <mergeCell ref="A79:A81"/>
    <mergeCell ref="M79:M81"/>
    <mergeCell ref="A82:A84"/>
    <mergeCell ref="M82:M84"/>
    <mergeCell ref="A85:A87"/>
    <mergeCell ref="M85:M87"/>
    <mergeCell ref="A92:A93"/>
    <mergeCell ref="A116:A118"/>
    <mergeCell ref="K116:M118"/>
    <mergeCell ref="A97:A99"/>
    <mergeCell ref="M97:M99"/>
    <mergeCell ref="A100:A102"/>
    <mergeCell ref="M100:M102"/>
    <mergeCell ref="A103:A105"/>
    <mergeCell ref="M103:M105"/>
    <mergeCell ref="A106:A108"/>
    <mergeCell ref="M106:M108"/>
    <mergeCell ref="A113:M113"/>
    <mergeCell ref="A114:A115"/>
    <mergeCell ref="K114:M115"/>
    <mergeCell ref="A128:A130"/>
    <mergeCell ref="K128:M130"/>
    <mergeCell ref="A119:A121"/>
    <mergeCell ref="K119:M121"/>
    <mergeCell ref="A122:A124"/>
    <mergeCell ref="K122:M124"/>
    <mergeCell ref="A125:A127"/>
    <mergeCell ref="K125:M12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8791-48B0-4AD2-802F-7D153BD180FB}">
  <dimension ref="A1:K51"/>
  <sheetViews>
    <sheetView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F17" sqref="F17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31.60937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11" ht="18.75" x14ac:dyDescent="0.25">
      <c r="A1" s="1" t="s">
        <v>0</v>
      </c>
    </row>
    <row r="3" spans="1:11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58" t="s">
        <v>6</v>
      </c>
      <c r="G3" s="13" t="s">
        <v>7</v>
      </c>
      <c r="H3" s="13" t="s">
        <v>8</v>
      </c>
    </row>
    <row r="4" spans="1:11" x14ac:dyDescent="0.2">
      <c r="A4" s="276">
        <v>46188</v>
      </c>
      <c r="B4" s="8" t="s">
        <v>9</v>
      </c>
      <c r="C4" s="8" t="s">
        <v>326</v>
      </c>
      <c r="D4" s="181" t="s">
        <v>2271</v>
      </c>
      <c r="E4" s="172">
        <v>0.41666666666666669</v>
      </c>
      <c r="F4" s="177">
        <v>0.39583333333333331</v>
      </c>
      <c r="G4" s="159"/>
      <c r="H4" s="242"/>
    </row>
    <row r="5" spans="1:11" x14ac:dyDescent="0.2">
      <c r="A5" s="276"/>
      <c r="B5" s="8" t="s">
        <v>14</v>
      </c>
      <c r="C5" s="8" t="s">
        <v>305</v>
      </c>
      <c r="D5" s="8" t="s">
        <v>1217</v>
      </c>
      <c r="E5" s="172">
        <v>0.54166666666666663</v>
      </c>
      <c r="F5" s="175">
        <v>0.70347222222222228</v>
      </c>
      <c r="G5" s="159"/>
      <c r="H5" s="242" t="s">
        <v>2512</v>
      </c>
    </row>
    <row r="6" spans="1:11" x14ac:dyDescent="0.2">
      <c r="A6" s="276"/>
      <c r="B6" s="8" t="s">
        <v>20</v>
      </c>
      <c r="C6" s="10"/>
      <c r="D6" s="10"/>
      <c r="E6" s="172">
        <v>0.66666666666666663</v>
      </c>
      <c r="F6" s="177"/>
      <c r="G6" s="176"/>
      <c r="H6" s="242"/>
    </row>
    <row r="7" spans="1:11" ht="15" customHeight="1" x14ac:dyDescent="0.2">
      <c r="A7" s="276"/>
      <c r="B7" s="8" t="s">
        <v>22</v>
      </c>
      <c r="C7" s="8" t="s">
        <v>332</v>
      </c>
      <c r="D7" s="8" t="s">
        <v>1963</v>
      </c>
      <c r="E7" s="172">
        <v>0.70833333333333337</v>
      </c>
      <c r="F7" s="175">
        <v>0.81458333333333333</v>
      </c>
      <c r="G7" s="159"/>
      <c r="H7" s="242" t="s">
        <v>2523</v>
      </c>
    </row>
    <row r="8" spans="1:11" ht="15" customHeight="1" x14ac:dyDescent="0.2">
      <c r="A8" s="276"/>
      <c r="B8" s="8" t="s">
        <v>26</v>
      </c>
      <c r="C8" s="8" t="s">
        <v>1978</v>
      </c>
      <c r="D8" s="8" t="s">
        <v>554</v>
      </c>
      <c r="E8" s="172">
        <v>0.66666666666666663</v>
      </c>
      <c r="F8" s="177">
        <v>0.64166666666666672</v>
      </c>
      <c r="G8" s="159"/>
      <c r="H8" s="242"/>
    </row>
    <row r="9" spans="1:11" ht="15" customHeight="1" x14ac:dyDescent="0.2">
      <c r="A9" s="276"/>
      <c r="B9" s="8" t="s">
        <v>26</v>
      </c>
      <c r="C9" s="8" t="s">
        <v>318</v>
      </c>
      <c r="D9" s="8" t="s">
        <v>789</v>
      </c>
      <c r="E9" s="172">
        <v>0.66666666666666663</v>
      </c>
      <c r="F9" s="175">
        <v>0.72222222222222221</v>
      </c>
      <c r="G9" s="159"/>
      <c r="H9" s="242" t="s">
        <v>2524</v>
      </c>
    </row>
    <row r="10" spans="1:11" ht="15" customHeight="1" x14ac:dyDescent="0.2">
      <c r="A10" s="276"/>
      <c r="B10" s="8" t="s">
        <v>26</v>
      </c>
      <c r="C10" s="8" t="s">
        <v>1027</v>
      </c>
      <c r="D10" s="8" t="s">
        <v>314</v>
      </c>
      <c r="E10" s="172">
        <v>0.66666666666666663</v>
      </c>
      <c r="F10" s="177">
        <v>0.65902777777777777</v>
      </c>
      <c r="G10" s="159"/>
      <c r="H10" s="242"/>
    </row>
    <row r="11" spans="1:11" ht="15" customHeight="1" x14ac:dyDescent="0.2">
      <c r="A11" s="276"/>
      <c r="B11" s="8" t="s">
        <v>1443</v>
      </c>
      <c r="C11" s="8" t="s">
        <v>309</v>
      </c>
      <c r="D11" s="8" t="s">
        <v>2513</v>
      </c>
      <c r="E11" s="172">
        <v>0.66666666666666663</v>
      </c>
      <c r="F11" s="177">
        <v>0.65069444444444446</v>
      </c>
      <c r="G11" s="159"/>
      <c r="H11" s="242"/>
      <c r="J11" s="2"/>
      <c r="K11" s="2"/>
    </row>
    <row r="12" spans="1:11" x14ac:dyDescent="0.2">
      <c r="A12" s="276">
        <v>46189</v>
      </c>
      <c r="B12" s="8" t="s">
        <v>315</v>
      </c>
      <c r="C12" s="8" t="s">
        <v>1026</v>
      </c>
      <c r="D12" s="8" t="s">
        <v>2525</v>
      </c>
      <c r="E12" s="172">
        <v>0.41666666666666669</v>
      </c>
      <c r="F12" s="177">
        <v>0.4</v>
      </c>
      <c r="G12" s="159"/>
      <c r="H12" s="242"/>
    </row>
    <row r="13" spans="1:11" x14ac:dyDescent="0.2">
      <c r="A13" s="276"/>
      <c r="B13" s="8" t="s">
        <v>315</v>
      </c>
      <c r="C13" s="8" t="s">
        <v>305</v>
      </c>
      <c r="D13" s="8" t="s">
        <v>306</v>
      </c>
      <c r="E13" s="172">
        <v>0.41666666666666669</v>
      </c>
      <c r="F13" s="177">
        <v>0.37569444444444444</v>
      </c>
      <c r="G13" s="159"/>
      <c r="H13" s="242"/>
    </row>
    <row r="14" spans="1:11" x14ac:dyDescent="0.2">
      <c r="A14" s="276"/>
      <c r="B14" s="8" t="s">
        <v>14</v>
      </c>
      <c r="C14" s="8" t="s">
        <v>556</v>
      </c>
      <c r="D14" s="8" t="s">
        <v>1449</v>
      </c>
      <c r="E14" s="172">
        <v>0.54166666666666663</v>
      </c>
      <c r="F14" s="177">
        <v>0.47916666666666669</v>
      </c>
      <c r="G14" s="159"/>
      <c r="H14" s="242"/>
    </row>
    <row r="15" spans="1:11" x14ac:dyDescent="0.2">
      <c r="A15" s="276"/>
      <c r="B15" s="8" t="s">
        <v>20</v>
      </c>
      <c r="C15" s="10"/>
      <c r="D15" s="10"/>
      <c r="E15" s="172">
        <v>0.70833333333333337</v>
      </c>
      <c r="F15" s="177"/>
      <c r="G15" s="160"/>
      <c r="H15" s="242"/>
    </row>
    <row r="16" spans="1:11" x14ac:dyDescent="0.2">
      <c r="A16" s="276"/>
      <c r="B16" s="8" t="s">
        <v>22</v>
      </c>
      <c r="C16" s="8" t="s">
        <v>326</v>
      </c>
      <c r="D16" s="8" t="s">
        <v>2526</v>
      </c>
      <c r="E16" s="172">
        <v>0.70833333333333337</v>
      </c>
      <c r="F16" s="177">
        <v>0.68541666666666667</v>
      </c>
      <c r="G16" s="159"/>
      <c r="H16" s="242"/>
    </row>
    <row r="17" spans="1:8" x14ac:dyDescent="0.2">
      <c r="A17" s="276"/>
      <c r="B17" s="8" t="s">
        <v>26</v>
      </c>
      <c r="C17" s="8" t="s">
        <v>311</v>
      </c>
      <c r="D17" s="8" t="s">
        <v>312</v>
      </c>
      <c r="E17" s="172">
        <v>0.66666666666666663</v>
      </c>
      <c r="F17" s="177">
        <v>0.51736111111111116</v>
      </c>
      <c r="G17" s="159"/>
      <c r="H17" s="242"/>
    </row>
    <row r="18" spans="1:8" x14ac:dyDescent="0.2">
      <c r="A18" s="276"/>
      <c r="B18" s="8" t="s">
        <v>26</v>
      </c>
      <c r="C18" s="8" t="s">
        <v>793</v>
      </c>
      <c r="D18" s="8" t="s">
        <v>1029</v>
      </c>
      <c r="E18" s="172">
        <v>0.66666666666666663</v>
      </c>
      <c r="F18" s="177">
        <v>0.62291666666666667</v>
      </c>
      <c r="G18" s="159"/>
      <c r="H18" s="242"/>
    </row>
    <row r="19" spans="1:8" x14ac:dyDescent="0.2">
      <c r="A19" s="276"/>
      <c r="B19" s="8" t="s">
        <v>1443</v>
      </c>
      <c r="C19" s="8" t="s">
        <v>1035</v>
      </c>
      <c r="D19" s="8" t="s">
        <v>330</v>
      </c>
      <c r="E19" s="172">
        <v>0.66666666666666663</v>
      </c>
      <c r="F19" s="177">
        <v>0.5805555555555556</v>
      </c>
      <c r="G19" s="159"/>
      <c r="H19" s="242"/>
    </row>
    <row r="20" spans="1:8" x14ac:dyDescent="0.2">
      <c r="A20" s="391">
        <v>46190</v>
      </c>
      <c r="B20" s="182" t="s">
        <v>9</v>
      </c>
      <c r="C20" s="182"/>
      <c r="D20" s="182"/>
      <c r="E20" s="183">
        <v>0.41666666666666669</v>
      </c>
      <c r="F20" s="184"/>
      <c r="G20" s="186"/>
      <c r="H20" s="411" t="s">
        <v>2547</v>
      </c>
    </row>
    <row r="21" spans="1:8" x14ac:dyDescent="0.2">
      <c r="A21" s="391"/>
      <c r="B21" s="182" t="s">
        <v>14</v>
      </c>
      <c r="C21" s="182"/>
      <c r="D21" s="200"/>
      <c r="E21" s="183">
        <v>0.54166666666666663</v>
      </c>
      <c r="F21" s="184"/>
      <c r="G21" s="186"/>
      <c r="H21" s="412"/>
    </row>
    <row r="22" spans="1:8" x14ac:dyDescent="0.2">
      <c r="A22" s="391"/>
      <c r="B22" s="182" t="s">
        <v>20</v>
      </c>
      <c r="C22" s="182"/>
      <c r="D22" s="182"/>
      <c r="E22" s="183">
        <v>0.66666666666666663</v>
      </c>
      <c r="F22" s="184"/>
      <c r="G22" s="204"/>
      <c r="H22" s="412"/>
    </row>
    <row r="23" spans="1:8" x14ac:dyDescent="0.2">
      <c r="A23" s="391"/>
      <c r="B23" s="182" t="s">
        <v>22</v>
      </c>
      <c r="C23" s="182"/>
      <c r="D23" s="182"/>
      <c r="E23" s="183">
        <v>0.66666666666666663</v>
      </c>
      <c r="F23" s="187"/>
      <c r="G23" s="186"/>
      <c r="H23" s="412"/>
    </row>
    <row r="24" spans="1:8" x14ac:dyDescent="0.2">
      <c r="A24" s="391"/>
      <c r="B24" s="182" t="s">
        <v>26</v>
      </c>
      <c r="C24" s="182"/>
      <c r="D24" s="182"/>
      <c r="E24" s="183">
        <v>0.66666666666666663</v>
      </c>
      <c r="F24" s="187"/>
      <c r="G24" s="186"/>
      <c r="H24" s="412"/>
    </row>
    <row r="25" spans="1:8" x14ac:dyDescent="0.2">
      <c r="A25" s="391"/>
      <c r="B25" s="182" t="s">
        <v>26</v>
      </c>
      <c r="C25" s="182"/>
      <c r="D25" s="182"/>
      <c r="E25" s="183">
        <v>0.66666666666666663</v>
      </c>
      <c r="F25" s="187"/>
      <c r="G25" s="186"/>
      <c r="H25" s="412"/>
    </row>
    <row r="26" spans="1:8" x14ac:dyDescent="0.2">
      <c r="A26" s="391"/>
      <c r="B26" s="182" t="s">
        <v>26</v>
      </c>
      <c r="C26" s="182"/>
      <c r="D26" s="182"/>
      <c r="E26" s="183">
        <v>0.66666666666666663</v>
      </c>
      <c r="F26" s="184"/>
      <c r="G26" s="186"/>
      <c r="H26" s="412"/>
    </row>
    <row r="27" spans="1:8" x14ac:dyDescent="0.2">
      <c r="A27" s="391"/>
      <c r="B27" s="182" t="s">
        <v>1443</v>
      </c>
      <c r="C27" s="182"/>
      <c r="D27" s="182"/>
      <c r="E27" s="183">
        <v>0.66666666666666663</v>
      </c>
      <c r="F27" s="184"/>
      <c r="G27" s="186"/>
      <c r="H27" s="413"/>
    </row>
    <row r="28" spans="1:8" x14ac:dyDescent="0.2">
      <c r="A28" s="276">
        <v>46191</v>
      </c>
      <c r="B28" s="8" t="s">
        <v>9</v>
      </c>
      <c r="C28" s="8" t="s">
        <v>307</v>
      </c>
      <c r="D28" s="181" t="s">
        <v>2549</v>
      </c>
      <c r="E28" s="172">
        <v>0.41666666666666669</v>
      </c>
      <c r="F28" s="175">
        <v>0.43888888888888888</v>
      </c>
      <c r="G28" s="159"/>
      <c r="H28" s="195" t="s">
        <v>2551</v>
      </c>
    </row>
    <row r="29" spans="1:8" x14ac:dyDescent="0.2">
      <c r="A29" s="276"/>
      <c r="B29" s="8" t="s">
        <v>9</v>
      </c>
      <c r="C29" s="8" t="s">
        <v>326</v>
      </c>
      <c r="D29" s="181" t="s">
        <v>1223</v>
      </c>
      <c r="E29" s="172">
        <v>0.41666666666666669</v>
      </c>
      <c r="F29" s="175">
        <v>0.43125000000000002</v>
      </c>
      <c r="G29" s="159"/>
      <c r="H29" s="195" t="s">
        <v>2552</v>
      </c>
    </row>
    <row r="30" spans="1:8" x14ac:dyDescent="0.2">
      <c r="A30" s="276"/>
      <c r="B30" s="8" t="s">
        <v>14</v>
      </c>
      <c r="C30" s="8" t="s">
        <v>550</v>
      </c>
      <c r="D30" s="8" t="s">
        <v>2550</v>
      </c>
      <c r="E30" s="172">
        <v>0.54166666666666663</v>
      </c>
      <c r="F30" s="177">
        <v>0.40347222222222223</v>
      </c>
      <c r="G30" s="159"/>
      <c r="H30" s="195"/>
    </row>
    <row r="31" spans="1:8" x14ac:dyDescent="0.2">
      <c r="A31" s="276"/>
      <c r="B31" s="8" t="s">
        <v>20</v>
      </c>
      <c r="C31" s="8" t="s">
        <v>1035</v>
      </c>
      <c r="D31" s="8" t="s">
        <v>330</v>
      </c>
      <c r="E31" s="172">
        <v>0.66666666666666663</v>
      </c>
      <c r="F31" s="175">
        <v>0.72986111111111107</v>
      </c>
      <c r="G31" s="159"/>
      <c r="H31" s="195" t="s">
        <v>2553</v>
      </c>
    </row>
    <row r="32" spans="1:8" x14ac:dyDescent="0.2">
      <c r="A32" s="276"/>
      <c r="B32" s="8" t="s">
        <v>22</v>
      </c>
      <c r="C32" s="8" t="s">
        <v>305</v>
      </c>
      <c r="D32" s="8" t="s">
        <v>306</v>
      </c>
      <c r="E32" s="172">
        <v>0.70833333333333337</v>
      </c>
      <c r="F32" s="177">
        <v>0.38750000000000001</v>
      </c>
      <c r="G32" s="159"/>
      <c r="H32" s="195"/>
    </row>
    <row r="33" spans="1:8" x14ac:dyDescent="0.2">
      <c r="A33" s="276"/>
      <c r="B33" s="8" t="s">
        <v>26</v>
      </c>
      <c r="C33" s="8" t="s">
        <v>336</v>
      </c>
      <c r="D33" s="8" t="s">
        <v>561</v>
      </c>
      <c r="E33" s="172">
        <v>0.66666666666666663</v>
      </c>
      <c r="F33" s="177">
        <v>0.62152777777777779</v>
      </c>
      <c r="G33" s="159"/>
      <c r="H33" s="195"/>
    </row>
    <row r="34" spans="1:8" x14ac:dyDescent="0.2">
      <c r="A34" s="276"/>
      <c r="B34" s="8" t="s">
        <v>26</v>
      </c>
      <c r="C34" s="8" t="s">
        <v>309</v>
      </c>
      <c r="D34" s="8" t="s">
        <v>310</v>
      </c>
      <c r="E34" s="172">
        <v>0.66666666666666663</v>
      </c>
      <c r="F34" s="177">
        <v>0.63958333333333328</v>
      </c>
      <c r="G34" s="159"/>
      <c r="H34" s="195"/>
    </row>
    <row r="35" spans="1:8" x14ac:dyDescent="0.2">
      <c r="A35" s="276"/>
      <c r="B35" s="8" t="s">
        <v>26</v>
      </c>
      <c r="C35" s="8" t="s">
        <v>328</v>
      </c>
      <c r="D35" s="8" t="s">
        <v>329</v>
      </c>
      <c r="E35" s="172">
        <v>0.66666666666666663</v>
      </c>
      <c r="F35" s="177">
        <v>0.64375000000000004</v>
      </c>
      <c r="G35" s="159"/>
      <c r="H35" s="195"/>
    </row>
    <row r="36" spans="1:8" x14ac:dyDescent="0.2">
      <c r="A36" s="276"/>
      <c r="B36" s="8" t="s">
        <v>1443</v>
      </c>
      <c r="C36" s="8" t="s">
        <v>2020</v>
      </c>
      <c r="D36" s="8" t="s">
        <v>2021</v>
      </c>
      <c r="E36" s="172">
        <v>0.66666666666666663</v>
      </c>
      <c r="F36" s="177">
        <v>0.57013888888888886</v>
      </c>
      <c r="G36" s="159"/>
      <c r="H36" s="195"/>
    </row>
    <row r="37" spans="1:8" x14ac:dyDescent="0.2">
      <c r="A37" s="376">
        <v>46192</v>
      </c>
      <c r="B37" s="8" t="s">
        <v>9</v>
      </c>
      <c r="C37" s="8" t="s">
        <v>305</v>
      </c>
      <c r="D37" s="8" t="s">
        <v>306</v>
      </c>
      <c r="E37" s="172">
        <v>0.41666666666666669</v>
      </c>
      <c r="F37" s="177">
        <v>0.33541666666666664</v>
      </c>
      <c r="G37" s="159"/>
      <c r="H37" s="195"/>
    </row>
    <row r="38" spans="1:8" x14ac:dyDescent="0.2">
      <c r="A38" s="377"/>
      <c r="B38" s="8" t="s">
        <v>14</v>
      </c>
      <c r="C38" s="8" t="s">
        <v>318</v>
      </c>
      <c r="D38" s="8" t="s">
        <v>789</v>
      </c>
      <c r="E38" s="172">
        <v>0.54166666666666663</v>
      </c>
      <c r="F38" s="175">
        <v>0.59722222222222221</v>
      </c>
      <c r="G38" s="159"/>
      <c r="H38" s="195" t="s">
        <v>2686</v>
      </c>
    </row>
    <row r="39" spans="1:8" x14ac:dyDescent="0.2">
      <c r="A39" s="377"/>
      <c r="B39" s="8" t="s">
        <v>20</v>
      </c>
      <c r="C39" s="8"/>
      <c r="D39" s="8"/>
      <c r="E39" s="172">
        <v>0.66666666666666663</v>
      </c>
      <c r="F39" s="177"/>
      <c r="G39" s="159"/>
      <c r="H39" s="195"/>
    </row>
    <row r="40" spans="1:8" x14ac:dyDescent="0.2">
      <c r="A40" s="377"/>
      <c r="B40" s="8" t="s">
        <v>22</v>
      </c>
      <c r="C40" s="8" t="s">
        <v>326</v>
      </c>
      <c r="D40" s="8" t="s">
        <v>2526</v>
      </c>
      <c r="E40" s="172">
        <v>0.70833333333333337</v>
      </c>
      <c r="F40" s="177">
        <v>0.68541666666666667</v>
      </c>
      <c r="G40" s="159"/>
      <c r="H40" s="195"/>
    </row>
    <row r="41" spans="1:8" x14ac:dyDescent="0.2">
      <c r="A41" s="377"/>
      <c r="B41" s="8" t="s">
        <v>26</v>
      </c>
      <c r="C41" s="8" t="s">
        <v>563</v>
      </c>
      <c r="D41" s="8" t="s">
        <v>792</v>
      </c>
      <c r="E41" s="172">
        <v>0.66666666666666663</v>
      </c>
      <c r="F41" s="177">
        <v>0.625</v>
      </c>
      <c r="G41" s="159"/>
      <c r="H41" s="195"/>
    </row>
    <row r="42" spans="1:8" x14ac:dyDescent="0.2">
      <c r="A42" s="377"/>
      <c r="B42" s="8" t="s">
        <v>26</v>
      </c>
      <c r="C42" s="8" t="s">
        <v>336</v>
      </c>
      <c r="D42" s="8" t="s">
        <v>2680</v>
      </c>
      <c r="E42" s="172">
        <v>0.66666666666666663</v>
      </c>
      <c r="F42" s="175">
        <v>0.80555555555555558</v>
      </c>
      <c r="G42" s="159"/>
      <c r="H42" s="195" t="s">
        <v>2685</v>
      </c>
    </row>
    <row r="43" spans="1:8" x14ac:dyDescent="0.2">
      <c r="A43" s="377"/>
      <c r="B43" s="8" t="s">
        <v>26</v>
      </c>
      <c r="C43" s="8" t="s">
        <v>311</v>
      </c>
      <c r="D43" s="8" t="s">
        <v>312</v>
      </c>
      <c r="E43" s="172">
        <v>0.66666666666666663</v>
      </c>
      <c r="F43" s="175">
        <v>0.7583333333333333</v>
      </c>
      <c r="G43" s="159"/>
      <c r="H43" s="195" t="s">
        <v>2684</v>
      </c>
    </row>
    <row r="44" spans="1:8" x14ac:dyDescent="0.2">
      <c r="A44" s="377"/>
      <c r="B44" s="8" t="s">
        <v>26</v>
      </c>
      <c r="C44" s="8" t="s">
        <v>1880</v>
      </c>
      <c r="D44" s="8"/>
      <c r="E44" s="172">
        <v>0.66666666666666663</v>
      </c>
      <c r="F44" s="175">
        <v>0.6743055555555556</v>
      </c>
      <c r="G44" s="159"/>
      <c r="H44" s="195" t="s">
        <v>2681</v>
      </c>
    </row>
    <row r="45" spans="1:8" x14ac:dyDescent="0.2">
      <c r="A45" s="377"/>
      <c r="B45" s="8" t="s">
        <v>1443</v>
      </c>
      <c r="C45" s="8" t="s">
        <v>1026</v>
      </c>
      <c r="D45" s="8" t="s">
        <v>569</v>
      </c>
      <c r="E45" s="172">
        <v>0.66666666666666663</v>
      </c>
      <c r="F45" s="175">
        <v>0.70486111111111116</v>
      </c>
      <c r="G45" s="159"/>
      <c r="H45" s="195" t="s">
        <v>2683</v>
      </c>
    </row>
    <row r="46" spans="1:8" x14ac:dyDescent="0.2">
      <c r="A46" s="378"/>
      <c r="B46" s="8" t="s">
        <v>1443</v>
      </c>
      <c r="C46" s="8" t="s">
        <v>565</v>
      </c>
      <c r="D46" s="8" t="s">
        <v>1037</v>
      </c>
      <c r="E46" s="172">
        <v>0.66666666666666663</v>
      </c>
      <c r="F46" s="175">
        <v>0.7944444444444444</v>
      </c>
      <c r="G46" s="159"/>
      <c r="H46" s="195" t="s">
        <v>2682</v>
      </c>
    </row>
    <row r="48" spans="1:8" x14ac:dyDescent="0.2">
      <c r="A48" s="96" t="s">
        <v>1228</v>
      </c>
      <c r="B48" s="386">
        <v>32</v>
      </c>
      <c r="C48" s="387"/>
    </row>
    <row r="49" spans="1:3" x14ac:dyDescent="0.2">
      <c r="A49" s="96" t="s">
        <v>1229</v>
      </c>
      <c r="B49" s="78">
        <v>20</v>
      </c>
      <c r="C49" s="179">
        <f>B49/B48</f>
        <v>0.625</v>
      </c>
    </row>
    <row r="50" spans="1:3" x14ac:dyDescent="0.2">
      <c r="A50" s="96" t="s">
        <v>1230</v>
      </c>
      <c r="B50" s="97">
        <v>12</v>
      </c>
      <c r="C50" s="180">
        <f>B50/B48</f>
        <v>0.375</v>
      </c>
    </row>
    <row r="51" spans="1:3" x14ac:dyDescent="0.2">
      <c r="B51" s="141"/>
    </row>
  </sheetData>
  <autoFilter ref="A3:H46" xr:uid="{007222C0-65E8-4432-AB3E-97A35AC12FA3}"/>
  <mergeCells count="7">
    <mergeCell ref="H20:H27"/>
    <mergeCell ref="B48:C48"/>
    <mergeCell ref="A4:A11"/>
    <mergeCell ref="A12:A19"/>
    <mergeCell ref="A20:A27"/>
    <mergeCell ref="A28:A36"/>
    <mergeCell ref="A37:A46"/>
  </mergeCells>
  <conditionalFormatting sqref="F4:F46">
    <cfRule type="expression" dxfId="6" priority="1">
      <formula>AND(F4&lt;=E4,F4&lt;&gt;"")</formula>
    </cfRule>
    <cfRule type="expression" dxfId="5" priority="2">
      <formula>F4&gt;E4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E076-17A2-4DEA-AE05-85142BF4F632}">
  <dimension ref="A1:P133"/>
  <sheetViews>
    <sheetView topLeftCell="F5" zoomScale="90" zoomScaleNormal="90" workbookViewId="0">
      <selection activeCell="M23" sqref="M23"/>
    </sheetView>
  </sheetViews>
  <sheetFormatPr defaultRowHeight="15" x14ac:dyDescent="0.2"/>
  <cols>
    <col min="1" max="1" width="24.078125" customWidth="1"/>
    <col min="2" max="2" width="20.58203125" style="2" customWidth="1"/>
    <col min="3" max="12" width="20.58203125" customWidth="1"/>
    <col min="13" max="13" width="58.91796875" customWidth="1"/>
    <col min="14" max="23" width="20.58203125" customWidth="1"/>
  </cols>
  <sheetData>
    <row r="1" spans="1:13" ht="18.75" x14ac:dyDescent="0.25">
      <c r="A1" s="1" t="s">
        <v>32</v>
      </c>
    </row>
    <row r="3" spans="1:13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spans="1:13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/>
      <c r="I4" s="281" t="s">
        <v>22</v>
      </c>
      <c r="J4" s="281"/>
      <c r="K4" s="281"/>
      <c r="L4" s="282" t="s">
        <v>8</v>
      </c>
      <c r="M4" s="282"/>
    </row>
    <row r="5" spans="1:13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1997</v>
      </c>
      <c r="H5" s="5" t="s">
        <v>40</v>
      </c>
      <c r="I5" s="4" t="s">
        <v>35</v>
      </c>
      <c r="J5" s="5" t="s">
        <v>36</v>
      </c>
      <c r="K5" s="5" t="s">
        <v>37</v>
      </c>
      <c r="L5" s="282"/>
      <c r="M5" s="282"/>
    </row>
    <row r="6" spans="1:13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264</v>
      </c>
      <c r="H6" s="15" t="s">
        <v>45</v>
      </c>
      <c r="I6" s="15" t="s">
        <v>46</v>
      </c>
      <c r="J6" s="15" t="s">
        <v>47</v>
      </c>
      <c r="K6" s="15" t="s">
        <v>47</v>
      </c>
      <c r="L6" s="282"/>
      <c r="M6" s="282"/>
    </row>
    <row r="7" spans="1:13" x14ac:dyDescent="0.2">
      <c r="A7" s="379">
        <v>46188</v>
      </c>
      <c r="B7" s="53" t="s">
        <v>2521</v>
      </c>
      <c r="C7" s="53" t="s">
        <v>2520</v>
      </c>
      <c r="D7" s="53" t="s">
        <v>2520</v>
      </c>
      <c r="E7" s="53"/>
      <c r="F7" s="53"/>
      <c r="G7" s="53"/>
      <c r="H7" s="53"/>
      <c r="I7" s="115" t="s">
        <v>2538</v>
      </c>
      <c r="J7" s="115" t="s">
        <v>2536</v>
      </c>
      <c r="K7" s="115" t="s">
        <v>2537</v>
      </c>
      <c r="L7" s="277" t="s">
        <v>2517</v>
      </c>
      <c r="M7" s="278"/>
    </row>
    <row r="8" spans="1:13" x14ac:dyDescent="0.2">
      <c r="A8" s="379"/>
      <c r="B8" s="235" t="s">
        <v>2707</v>
      </c>
      <c r="C8" s="235" t="s">
        <v>2707</v>
      </c>
      <c r="D8" s="235" t="s">
        <v>2707</v>
      </c>
      <c r="E8" s="235"/>
      <c r="F8" s="235"/>
      <c r="G8" s="235"/>
      <c r="H8" s="235"/>
      <c r="I8" s="235" t="s">
        <v>2711</v>
      </c>
      <c r="J8" s="235" t="s">
        <v>2711</v>
      </c>
      <c r="K8" s="235" t="s">
        <v>2711</v>
      </c>
      <c r="L8" s="278"/>
      <c r="M8" s="278"/>
    </row>
    <row r="9" spans="1:13" ht="68.25" x14ac:dyDescent="0.2">
      <c r="A9" s="379"/>
      <c r="B9" s="9" t="s">
        <v>2518</v>
      </c>
      <c r="C9" s="9">
        <v>8260101230</v>
      </c>
      <c r="D9" s="9">
        <v>8260101228</v>
      </c>
      <c r="E9" s="9"/>
      <c r="F9" s="9"/>
      <c r="G9" s="9"/>
      <c r="H9" s="9"/>
      <c r="I9" s="9">
        <v>8260101289</v>
      </c>
      <c r="J9" s="9" t="s">
        <v>2519</v>
      </c>
      <c r="K9" s="9">
        <v>8260101290</v>
      </c>
      <c r="L9" s="278"/>
      <c r="M9" s="278"/>
    </row>
    <row r="10" spans="1:13" x14ac:dyDescent="0.2">
      <c r="A10" s="276">
        <v>46189</v>
      </c>
      <c r="B10" s="53" t="s">
        <v>2529</v>
      </c>
      <c r="C10" s="53" t="s">
        <v>2531</v>
      </c>
      <c r="D10" s="53" t="s">
        <v>2531</v>
      </c>
      <c r="E10" s="53" t="s">
        <v>2533</v>
      </c>
      <c r="F10" s="53" t="s">
        <v>2535</v>
      </c>
      <c r="G10" s="53"/>
      <c r="H10" s="53"/>
      <c r="I10" s="74" t="s">
        <v>2545</v>
      </c>
      <c r="J10" s="74" t="s">
        <v>2546</v>
      </c>
      <c r="K10" s="74" t="s">
        <v>2546</v>
      </c>
      <c r="L10" s="283"/>
      <c r="M10" s="283"/>
    </row>
    <row r="11" spans="1:13" x14ac:dyDescent="0.2">
      <c r="A11" s="276"/>
      <c r="B11" s="235" t="s">
        <v>2708</v>
      </c>
      <c r="C11" s="235" t="s">
        <v>2708</v>
      </c>
      <c r="D11" s="235" t="s">
        <v>2708</v>
      </c>
      <c r="E11" s="235" t="s">
        <v>2709</v>
      </c>
      <c r="F11" s="235" t="s">
        <v>2709</v>
      </c>
      <c r="G11" s="235"/>
      <c r="H11" s="235"/>
      <c r="I11" s="235" t="s">
        <v>2707</v>
      </c>
      <c r="J11" s="235" t="s">
        <v>2707</v>
      </c>
      <c r="K11" s="235" t="s">
        <v>2707</v>
      </c>
      <c r="L11" s="283"/>
      <c r="M11" s="283"/>
    </row>
    <row r="12" spans="1:13" ht="69.95" customHeight="1" x14ac:dyDescent="0.2">
      <c r="A12" s="276"/>
      <c r="B12" s="9" t="s">
        <v>2528</v>
      </c>
      <c r="C12" s="9" t="s">
        <v>2530</v>
      </c>
      <c r="D12" s="9">
        <v>8260101303</v>
      </c>
      <c r="E12" s="9" t="s">
        <v>2532</v>
      </c>
      <c r="F12" s="9" t="s">
        <v>2534</v>
      </c>
      <c r="G12" s="9"/>
      <c r="H12" s="9"/>
      <c r="I12" s="9">
        <v>8260101361</v>
      </c>
      <c r="J12" s="9">
        <v>8260101359</v>
      </c>
      <c r="K12" s="9">
        <v>8260101360</v>
      </c>
      <c r="L12" s="283"/>
      <c r="M12" s="283"/>
    </row>
    <row r="13" spans="1:13" ht="15" customHeight="1" x14ac:dyDescent="0.2">
      <c r="A13" s="391">
        <v>46190</v>
      </c>
      <c r="B13" s="247"/>
      <c r="C13" s="247"/>
      <c r="D13" s="247"/>
      <c r="E13" s="247"/>
      <c r="F13" s="247"/>
      <c r="G13" s="247"/>
      <c r="H13" s="247"/>
      <c r="I13" s="244"/>
      <c r="J13" s="244"/>
      <c r="K13" s="244"/>
      <c r="L13" s="431" t="s">
        <v>2547</v>
      </c>
      <c r="M13" s="432"/>
    </row>
    <row r="14" spans="1:13" ht="15" customHeight="1" x14ac:dyDescent="0.2">
      <c r="A14" s="391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432"/>
      <c r="M14" s="432"/>
    </row>
    <row r="15" spans="1:13" ht="69.95" customHeight="1" x14ac:dyDescent="0.2">
      <c r="A15" s="391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432"/>
      <c r="M15" s="432"/>
    </row>
    <row r="16" spans="1:13" x14ac:dyDescent="0.2">
      <c r="A16" s="276">
        <v>46191</v>
      </c>
      <c r="B16" s="53" t="s">
        <v>2559</v>
      </c>
      <c r="C16" s="53" t="s">
        <v>2564</v>
      </c>
      <c r="D16" s="53" t="s">
        <v>2564</v>
      </c>
      <c r="E16" s="53" t="s">
        <v>2566</v>
      </c>
      <c r="F16" s="53" t="s">
        <v>2567</v>
      </c>
      <c r="G16" s="53"/>
      <c r="H16" s="53"/>
      <c r="I16" s="74" t="s">
        <v>2560</v>
      </c>
      <c r="J16" s="74" t="s">
        <v>2563</v>
      </c>
      <c r="K16" s="74" t="s">
        <v>2563</v>
      </c>
      <c r="L16" s="278"/>
      <c r="M16" s="278"/>
    </row>
    <row r="17" spans="1:13" x14ac:dyDescent="0.2">
      <c r="A17" s="276"/>
      <c r="B17" s="235" t="s">
        <v>2712</v>
      </c>
      <c r="C17" s="235" t="s">
        <v>2712</v>
      </c>
      <c r="D17" s="235" t="s">
        <v>2712</v>
      </c>
      <c r="E17" s="235" t="s">
        <v>2707</v>
      </c>
      <c r="F17" s="235" t="s">
        <v>2707</v>
      </c>
      <c r="G17" s="235"/>
      <c r="H17" s="235"/>
      <c r="I17" s="235" t="s">
        <v>2709</v>
      </c>
      <c r="J17" s="235" t="s">
        <v>2709</v>
      </c>
      <c r="K17" s="235" t="s">
        <v>2709</v>
      </c>
      <c r="L17" s="278"/>
      <c r="M17" s="278"/>
    </row>
    <row r="18" spans="1:13" ht="69.95" customHeight="1" x14ac:dyDescent="0.2">
      <c r="A18" s="276"/>
      <c r="B18" s="9" t="s">
        <v>2558</v>
      </c>
      <c r="C18" s="9" t="s">
        <v>2561</v>
      </c>
      <c r="D18" s="9" t="s">
        <v>2565</v>
      </c>
      <c r="E18" s="9">
        <v>8260101378</v>
      </c>
      <c r="F18" s="7">
        <v>8260101380</v>
      </c>
      <c r="G18" s="7"/>
      <c r="H18" s="7"/>
      <c r="I18" s="9">
        <v>8260101440</v>
      </c>
      <c r="J18" s="9" t="s">
        <v>2562</v>
      </c>
      <c r="K18" s="7">
        <v>8260101441</v>
      </c>
      <c r="L18" s="278"/>
      <c r="M18" s="278"/>
    </row>
    <row r="19" spans="1:13" ht="15" customHeight="1" x14ac:dyDescent="0.2">
      <c r="A19" s="276">
        <v>46192</v>
      </c>
      <c r="B19" s="51" t="s">
        <v>2676</v>
      </c>
      <c r="C19" s="51" t="s">
        <v>2679</v>
      </c>
      <c r="D19" s="51" t="s">
        <v>2679</v>
      </c>
      <c r="E19" s="53"/>
      <c r="F19" s="53"/>
      <c r="G19" s="53"/>
      <c r="H19" s="53"/>
      <c r="I19" s="74" t="s">
        <v>2675</v>
      </c>
      <c r="J19" s="74" t="s">
        <v>2678</v>
      </c>
      <c r="K19" s="74" t="s">
        <v>2678</v>
      </c>
      <c r="L19" s="278" t="s">
        <v>1250</v>
      </c>
      <c r="M19" s="278"/>
    </row>
    <row r="20" spans="1:13" ht="15" customHeight="1" x14ac:dyDescent="0.2">
      <c r="A20" s="276"/>
      <c r="B20" s="235" t="s">
        <v>2709</v>
      </c>
      <c r="C20" s="235" t="s">
        <v>2709</v>
      </c>
      <c r="D20" s="235" t="s">
        <v>2709</v>
      </c>
      <c r="E20" s="235"/>
      <c r="F20" s="235"/>
      <c r="G20" s="235"/>
      <c r="H20" s="235"/>
      <c r="I20" s="235" t="s">
        <v>2707</v>
      </c>
      <c r="J20" s="235" t="s">
        <v>2707</v>
      </c>
      <c r="K20" s="235" t="s">
        <v>2707</v>
      </c>
      <c r="L20" s="278"/>
      <c r="M20" s="278"/>
    </row>
    <row r="21" spans="1:13" ht="69.95" customHeight="1" x14ac:dyDescent="0.2">
      <c r="A21" s="276"/>
      <c r="B21" s="9" t="s">
        <v>2674</v>
      </c>
      <c r="C21" s="9" t="s">
        <v>2677</v>
      </c>
      <c r="D21" s="9">
        <v>8260101453</v>
      </c>
      <c r="E21" s="9"/>
      <c r="F21" s="9"/>
      <c r="G21" s="9"/>
      <c r="H21" s="9"/>
      <c r="I21" s="9">
        <v>8260101521</v>
      </c>
      <c r="J21" s="9">
        <v>8260101523</v>
      </c>
      <c r="K21" s="7">
        <v>8260101522</v>
      </c>
      <c r="L21" s="278"/>
      <c r="M21" s="278"/>
    </row>
    <row r="22" spans="1:13" x14ac:dyDescent="0.2">
      <c r="A22" s="157" t="s">
        <v>1274</v>
      </c>
      <c r="B22" s="143">
        <f t="shared" ref="B22:K22" si="0">B23+B24</f>
        <v>4</v>
      </c>
      <c r="C22" s="143">
        <f t="shared" si="0"/>
        <v>4</v>
      </c>
      <c r="D22" s="143">
        <f t="shared" si="0"/>
        <v>4</v>
      </c>
      <c r="E22" s="143">
        <f t="shared" si="0"/>
        <v>2</v>
      </c>
      <c r="F22" s="143">
        <f t="shared" si="0"/>
        <v>2</v>
      </c>
      <c r="G22" s="143">
        <f t="shared" si="0"/>
        <v>0</v>
      </c>
      <c r="H22" s="143">
        <f t="shared" si="0"/>
        <v>0</v>
      </c>
      <c r="I22" s="143">
        <f t="shared" si="0"/>
        <v>3</v>
      </c>
      <c r="J22" s="143">
        <f t="shared" si="0"/>
        <v>3</v>
      </c>
      <c r="K22" s="143">
        <f t="shared" si="0"/>
        <v>3</v>
      </c>
      <c r="L22" s="149">
        <f>SUM(B22:K22)</f>
        <v>25</v>
      </c>
      <c r="M22" s="144"/>
    </row>
    <row r="23" spans="1:13" x14ac:dyDescent="0.2">
      <c r="A23" s="157" t="s">
        <v>1275</v>
      </c>
      <c r="B23" s="143">
        <v>3</v>
      </c>
      <c r="C23" s="143">
        <v>3</v>
      </c>
      <c r="D23" s="143">
        <v>3</v>
      </c>
      <c r="E23" s="143">
        <v>2</v>
      </c>
      <c r="F23" s="143">
        <v>2</v>
      </c>
      <c r="G23" s="143">
        <v>0</v>
      </c>
      <c r="H23" s="143">
        <v>0</v>
      </c>
      <c r="I23" s="3">
        <v>2</v>
      </c>
      <c r="J23" s="3">
        <v>2</v>
      </c>
      <c r="K23" s="3">
        <v>2</v>
      </c>
      <c r="L23" s="149">
        <f>SUM(B23:K23)</f>
        <v>19</v>
      </c>
      <c r="M23" s="144"/>
    </row>
    <row r="24" spans="1:13" x14ac:dyDescent="0.2">
      <c r="A24" s="158" t="s">
        <v>1276</v>
      </c>
      <c r="B24" s="148">
        <v>1</v>
      </c>
      <c r="C24" s="148">
        <v>1</v>
      </c>
      <c r="D24" s="148">
        <v>1</v>
      </c>
      <c r="E24" s="148">
        <v>0</v>
      </c>
      <c r="F24" s="148">
        <v>0</v>
      </c>
      <c r="G24" s="148">
        <v>0</v>
      </c>
      <c r="H24" s="148">
        <v>0</v>
      </c>
      <c r="I24" s="147">
        <v>1</v>
      </c>
      <c r="J24" s="147">
        <v>1</v>
      </c>
      <c r="K24" s="147">
        <v>1</v>
      </c>
      <c r="L24" s="150">
        <f>SUM(B24:K24)</f>
        <v>6</v>
      </c>
    </row>
    <row r="25" spans="1:13" x14ac:dyDescent="0.2">
      <c r="C25" s="2"/>
      <c r="D25" s="2"/>
      <c r="E25" s="2"/>
      <c r="F25" s="2"/>
      <c r="G25" s="2"/>
      <c r="H25" s="2"/>
    </row>
    <row r="26" spans="1:13" ht="15" customHeight="1" x14ac:dyDescent="0.2">
      <c r="A26" s="280" t="s">
        <v>34</v>
      </c>
      <c r="B26" s="286" t="s">
        <v>379</v>
      </c>
      <c r="C26" s="286" t="s">
        <v>83</v>
      </c>
      <c r="D26" s="286" t="s">
        <v>84</v>
      </c>
      <c r="E26" s="287" t="s">
        <v>8</v>
      </c>
      <c r="F26" s="287"/>
      <c r="G26" s="287"/>
      <c r="H26" s="288"/>
    </row>
    <row r="27" spans="1:13" x14ac:dyDescent="0.2">
      <c r="A27" s="280"/>
      <c r="B27" s="286"/>
      <c r="C27" s="286"/>
      <c r="D27" s="286"/>
      <c r="E27" s="289"/>
      <c r="F27" s="289"/>
      <c r="G27" s="289"/>
      <c r="H27" s="290"/>
    </row>
    <row r="28" spans="1:13" x14ac:dyDescent="0.2">
      <c r="A28" s="280"/>
      <c r="B28" s="14" t="s">
        <v>380</v>
      </c>
      <c r="C28" s="15" t="s">
        <v>381</v>
      </c>
      <c r="D28" s="15" t="s">
        <v>382</v>
      </c>
      <c r="E28" s="130"/>
      <c r="F28" s="130"/>
      <c r="G28" s="130"/>
      <c r="H28" s="131"/>
    </row>
    <row r="29" spans="1:13" s="6" customFormat="1" x14ac:dyDescent="0.2">
      <c r="A29" s="379">
        <v>46188</v>
      </c>
      <c r="B29" s="115" t="s">
        <v>2522</v>
      </c>
      <c r="C29" s="53"/>
      <c r="D29" s="53"/>
      <c r="E29" s="392" t="s">
        <v>2539</v>
      </c>
      <c r="F29" s="393"/>
      <c r="G29" s="393"/>
      <c r="H29" s="394"/>
    </row>
    <row r="30" spans="1:13" s="6" customFormat="1" x14ac:dyDescent="0.2">
      <c r="A30" s="379"/>
      <c r="B30" s="235" t="s">
        <v>2709</v>
      </c>
      <c r="C30" s="235"/>
      <c r="D30" s="235"/>
      <c r="E30" s="407"/>
      <c r="F30" s="408"/>
      <c r="G30" s="408"/>
      <c r="H30" s="409"/>
    </row>
    <row r="31" spans="1:13" s="6" customFormat="1" ht="162" x14ac:dyDescent="0.2">
      <c r="A31" s="379"/>
      <c r="B31" s="9" t="s">
        <v>2511</v>
      </c>
      <c r="C31" s="9"/>
      <c r="D31" s="7"/>
      <c r="E31" s="395"/>
      <c r="F31" s="396"/>
      <c r="G31" s="396"/>
      <c r="H31" s="397"/>
      <c r="J31" s="110"/>
      <c r="K31" s="110"/>
    </row>
    <row r="32" spans="1:13" s="6" customFormat="1" x14ac:dyDescent="0.2">
      <c r="A32" s="276">
        <v>46189</v>
      </c>
      <c r="B32" s="74" t="s">
        <v>2548</v>
      </c>
      <c r="C32" s="53"/>
      <c r="D32" s="53"/>
      <c r="E32" s="301"/>
      <c r="F32" s="302"/>
      <c r="G32" s="302"/>
      <c r="H32" s="303"/>
    </row>
    <row r="33" spans="1:13" s="6" customFormat="1" x14ac:dyDescent="0.2">
      <c r="A33" s="276"/>
      <c r="B33" s="239" t="s">
        <v>2713</v>
      </c>
      <c r="C33" s="235"/>
      <c r="D33" s="235"/>
      <c r="E33" s="304"/>
      <c r="F33" s="305"/>
      <c r="G33" s="305"/>
      <c r="H33" s="306"/>
    </row>
    <row r="34" spans="1:13" s="6" customFormat="1" ht="69.95" customHeight="1" x14ac:dyDescent="0.2">
      <c r="A34" s="276"/>
      <c r="B34" s="9" t="s">
        <v>2527</v>
      </c>
      <c r="C34" s="7"/>
      <c r="D34" s="7"/>
      <c r="E34" s="307"/>
      <c r="F34" s="308"/>
      <c r="G34" s="308"/>
      <c r="H34" s="309"/>
    </row>
    <row r="35" spans="1:13" s="6" customFormat="1" x14ac:dyDescent="0.2">
      <c r="A35" s="391">
        <v>46190</v>
      </c>
      <c r="B35" s="244"/>
      <c r="C35" s="245"/>
      <c r="D35" s="245"/>
      <c r="E35" s="422" t="s">
        <v>2547</v>
      </c>
      <c r="F35" s="423"/>
      <c r="G35" s="423"/>
      <c r="H35" s="424"/>
    </row>
    <row r="36" spans="1:13" s="6" customFormat="1" x14ac:dyDescent="0.2">
      <c r="A36" s="391"/>
      <c r="B36" s="244"/>
      <c r="C36" s="245"/>
      <c r="D36" s="245"/>
      <c r="E36" s="425"/>
      <c r="F36" s="426"/>
      <c r="G36" s="426"/>
      <c r="H36" s="427"/>
    </row>
    <row r="37" spans="1:13" s="6" customFormat="1" ht="80.099999999999994" customHeight="1" x14ac:dyDescent="0.2">
      <c r="A37" s="391"/>
      <c r="B37" s="246"/>
      <c r="C37" s="246"/>
      <c r="D37" s="245"/>
      <c r="E37" s="428"/>
      <c r="F37" s="429"/>
      <c r="G37" s="429"/>
      <c r="H37" s="430"/>
    </row>
    <row r="38" spans="1:13" s="6" customFormat="1" x14ac:dyDescent="0.2">
      <c r="A38" s="276">
        <v>46191</v>
      </c>
      <c r="B38" s="56" t="s">
        <v>2569</v>
      </c>
      <c r="C38" s="56" t="s">
        <v>2568</v>
      </c>
      <c r="D38" s="53"/>
      <c r="E38" s="292"/>
      <c r="F38" s="293"/>
      <c r="G38" s="293"/>
      <c r="H38" s="294"/>
    </row>
    <row r="39" spans="1:13" s="6" customFormat="1" x14ac:dyDescent="0.2">
      <c r="A39" s="276"/>
      <c r="B39" s="236" t="s">
        <v>2714</v>
      </c>
      <c r="C39" s="236" t="s">
        <v>2715</v>
      </c>
      <c r="D39" s="235"/>
      <c r="E39" s="295"/>
      <c r="F39" s="296"/>
      <c r="G39" s="296"/>
      <c r="H39" s="297"/>
    </row>
    <row r="40" spans="1:13" s="6" customFormat="1" ht="65.099999999999994" customHeight="1" x14ac:dyDescent="0.2">
      <c r="A40" s="276"/>
      <c r="B40" s="9" t="s">
        <v>2554</v>
      </c>
      <c r="C40" s="9" t="s">
        <v>2555</v>
      </c>
      <c r="D40" s="7"/>
      <c r="E40" s="298"/>
      <c r="F40" s="299"/>
      <c r="G40" s="299"/>
      <c r="H40" s="300"/>
    </row>
    <row r="41" spans="1:13" s="6" customFormat="1" x14ac:dyDescent="0.2">
      <c r="A41" s="276">
        <v>46192</v>
      </c>
      <c r="B41" s="74" t="s">
        <v>2687</v>
      </c>
      <c r="C41" s="53"/>
      <c r="D41" s="53"/>
      <c r="E41" s="310"/>
      <c r="F41" s="311"/>
      <c r="G41" s="311"/>
      <c r="H41" s="312"/>
    </row>
    <row r="42" spans="1:13" s="6" customFormat="1" x14ac:dyDescent="0.2">
      <c r="A42" s="276"/>
      <c r="B42" s="238" t="s">
        <v>2710</v>
      </c>
      <c r="C42" s="235"/>
      <c r="D42" s="235"/>
      <c r="E42" s="313"/>
      <c r="F42" s="314"/>
      <c r="G42" s="314"/>
      <c r="H42" s="315"/>
    </row>
    <row r="43" spans="1:13" s="6" customFormat="1" ht="94.5" x14ac:dyDescent="0.2">
      <c r="A43" s="276"/>
      <c r="B43" s="9" t="s">
        <v>2688</v>
      </c>
      <c r="C43" s="7"/>
      <c r="D43" s="7"/>
      <c r="E43" s="316"/>
      <c r="F43" s="317"/>
      <c r="G43" s="317"/>
      <c r="H43" s="318"/>
    </row>
    <row r="44" spans="1:13" s="6" customFormat="1" x14ac:dyDescent="0.2">
      <c r="A44" s="157" t="s">
        <v>1274</v>
      </c>
      <c r="B44" s="143">
        <f>B45+B46</f>
        <v>4</v>
      </c>
      <c r="C44" s="143">
        <f>C45+C46</f>
        <v>1</v>
      </c>
      <c r="D44" s="143">
        <f>D45+D46</f>
        <v>0</v>
      </c>
      <c r="E44" s="149">
        <f>SUM(B44:D44)</f>
        <v>5</v>
      </c>
      <c r="F44" s="108"/>
      <c r="G44" s="108"/>
      <c r="H44" s="108"/>
    </row>
    <row r="45" spans="1:13" s="6" customFormat="1" x14ac:dyDescent="0.2">
      <c r="A45" s="157" t="s">
        <v>1275</v>
      </c>
      <c r="B45" s="143">
        <v>3</v>
      </c>
      <c r="C45" s="3">
        <v>1</v>
      </c>
      <c r="D45" s="3">
        <v>0</v>
      </c>
      <c r="E45" s="149">
        <f>SUM(B45:D45)</f>
        <v>4</v>
      </c>
      <c r="F45" s="108"/>
      <c r="G45" s="108"/>
      <c r="H45" s="108"/>
    </row>
    <row r="46" spans="1:13" s="6" customFormat="1" x14ac:dyDescent="0.2">
      <c r="A46" s="158" t="s">
        <v>1276</v>
      </c>
      <c r="B46" s="146">
        <v>1</v>
      </c>
      <c r="C46" s="147">
        <v>0</v>
      </c>
      <c r="D46" s="147">
        <v>0</v>
      </c>
      <c r="E46" s="150">
        <f>SUM(B46:D46)</f>
        <v>1</v>
      </c>
      <c r="F46" s="108"/>
      <c r="G46" s="108"/>
      <c r="H46" s="108"/>
    </row>
    <row r="47" spans="1:13" x14ac:dyDescent="0.2">
      <c r="C47" s="2"/>
      <c r="D47" s="2"/>
      <c r="E47" s="2"/>
      <c r="F47" s="2"/>
      <c r="G47" s="2"/>
      <c r="H47" s="2"/>
    </row>
    <row r="48" spans="1:13" x14ac:dyDescent="0.2">
      <c r="A48" s="279" t="s">
        <v>96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38"/>
      <c r="M48" s="38"/>
    </row>
    <row r="49" spans="1:11" ht="28.9" customHeight="1" x14ac:dyDescent="0.2">
      <c r="A49" s="280" t="s">
        <v>34</v>
      </c>
      <c r="B49" s="4" t="s">
        <v>97</v>
      </c>
      <c r="C49" s="5" t="s">
        <v>98</v>
      </c>
      <c r="D49" s="5" t="s">
        <v>99</v>
      </c>
      <c r="E49" s="5" t="s">
        <v>100</v>
      </c>
      <c r="F49" s="5" t="s">
        <v>101</v>
      </c>
      <c r="G49" s="5" t="s">
        <v>2126</v>
      </c>
      <c r="H49" s="5"/>
      <c r="I49" s="291" t="s">
        <v>8</v>
      </c>
      <c r="J49" s="291"/>
      <c r="K49" s="291"/>
    </row>
    <row r="50" spans="1:11" x14ac:dyDescent="0.2">
      <c r="A50" s="280"/>
      <c r="B50" s="14" t="s">
        <v>103</v>
      </c>
      <c r="C50" s="15" t="s">
        <v>104</v>
      </c>
      <c r="D50" s="15" t="s">
        <v>42</v>
      </c>
      <c r="E50" s="15" t="s">
        <v>105</v>
      </c>
      <c r="F50" s="15" t="s">
        <v>106</v>
      </c>
      <c r="G50" s="15" t="s">
        <v>107</v>
      </c>
      <c r="H50" s="15"/>
      <c r="I50" s="291"/>
      <c r="J50" s="291"/>
      <c r="K50" s="291"/>
    </row>
    <row r="51" spans="1:11" x14ac:dyDescent="0.2">
      <c r="A51" s="379">
        <v>46188</v>
      </c>
      <c r="B51" s="61" t="s">
        <v>1544</v>
      </c>
      <c r="C51" s="61" t="s">
        <v>2542</v>
      </c>
      <c r="D51" s="61" t="s">
        <v>2698</v>
      </c>
      <c r="E51" s="61" t="s">
        <v>2586</v>
      </c>
      <c r="F51" s="61" t="s">
        <v>2543</v>
      </c>
      <c r="G51" s="61"/>
      <c r="H51" s="61"/>
      <c r="I51" s="278"/>
      <c r="J51" s="278"/>
      <c r="K51" s="278"/>
    </row>
    <row r="52" spans="1:11" x14ac:dyDescent="0.2">
      <c r="A52" s="379"/>
      <c r="B52" s="4" t="s">
        <v>1027</v>
      </c>
      <c r="C52" s="4" t="s">
        <v>793</v>
      </c>
      <c r="D52" s="4" t="s">
        <v>328</v>
      </c>
      <c r="E52" s="4" t="s">
        <v>570</v>
      </c>
      <c r="F52" s="4" t="s">
        <v>2473</v>
      </c>
      <c r="G52" s="4"/>
      <c r="H52" s="4"/>
      <c r="I52" s="278"/>
      <c r="J52" s="278"/>
      <c r="K52" s="278"/>
    </row>
    <row r="53" spans="1:11" ht="45" customHeight="1" x14ac:dyDescent="0.2">
      <c r="A53" s="379"/>
      <c r="B53" s="9">
        <v>8260101283</v>
      </c>
      <c r="C53" s="121" t="s">
        <v>2516</v>
      </c>
      <c r="D53" s="9">
        <v>8260101260</v>
      </c>
      <c r="E53" s="9">
        <v>8260101254</v>
      </c>
      <c r="F53" s="9" t="s">
        <v>2544</v>
      </c>
      <c r="G53" s="9"/>
      <c r="H53" s="9"/>
      <c r="I53" s="278"/>
      <c r="J53" s="278"/>
      <c r="K53" s="278"/>
    </row>
    <row r="54" spans="1:11" x14ac:dyDescent="0.2">
      <c r="A54" s="276">
        <v>46189</v>
      </c>
      <c r="B54" s="17" t="s">
        <v>2665</v>
      </c>
      <c r="C54" s="61" t="s">
        <v>2667</v>
      </c>
      <c r="D54" s="61" t="s">
        <v>2669</v>
      </c>
      <c r="E54" s="61" t="s">
        <v>2606</v>
      </c>
      <c r="F54" s="61" t="s">
        <v>2579</v>
      </c>
      <c r="G54" s="61" t="s">
        <v>2700</v>
      </c>
      <c r="H54" s="61"/>
      <c r="I54" s="278" t="s">
        <v>2697</v>
      </c>
      <c r="J54" s="278"/>
      <c r="K54" s="278"/>
    </row>
    <row r="55" spans="1:11" x14ac:dyDescent="0.2">
      <c r="A55" s="276"/>
      <c r="B55" s="4" t="s">
        <v>2666</v>
      </c>
      <c r="C55" s="4" t="s">
        <v>793</v>
      </c>
      <c r="D55" s="4" t="s">
        <v>328</v>
      </c>
      <c r="E55" s="4" t="s">
        <v>323</v>
      </c>
      <c r="F55" s="4" t="s">
        <v>2473</v>
      </c>
      <c r="G55" s="4" t="s">
        <v>2369</v>
      </c>
      <c r="H55" s="4"/>
      <c r="I55" s="278"/>
      <c r="J55" s="278"/>
      <c r="K55" s="278"/>
    </row>
    <row r="56" spans="1:11" ht="45" customHeight="1" x14ac:dyDescent="0.2">
      <c r="A56" s="276"/>
      <c r="B56" s="9">
        <v>8260101340</v>
      </c>
      <c r="C56" s="9" t="s">
        <v>2668</v>
      </c>
      <c r="D56" s="9">
        <v>8260101352</v>
      </c>
      <c r="E56" s="9">
        <v>8260101344</v>
      </c>
      <c r="F56" s="9" t="s">
        <v>2670</v>
      </c>
      <c r="G56" s="9">
        <v>8260101333</v>
      </c>
      <c r="H56" s="9"/>
      <c r="I56" s="278"/>
      <c r="J56" s="278"/>
      <c r="K56" s="278"/>
    </row>
    <row r="57" spans="1:11" x14ac:dyDescent="0.2">
      <c r="A57" s="391">
        <v>46190</v>
      </c>
      <c r="B57" s="248"/>
      <c r="C57" s="248"/>
      <c r="D57" s="248"/>
      <c r="E57" s="248"/>
      <c r="F57" s="248"/>
      <c r="G57" s="248"/>
      <c r="H57" s="248"/>
      <c r="I57" s="421" t="s">
        <v>2547</v>
      </c>
      <c r="J57" s="421"/>
      <c r="K57" s="421"/>
    </row>
    <row r="58" spans="1:11" x14ac:dyDescent="0.2">
      <c r="A58" s="391"/>
      <c r="B58" s="248"/>
      <c r="C58" s="248"/>
      <c r="D58" s="248"/>
      <c r="E58" s="248"/>
      <c r="F58" s="248"/>
      <c r="G58" s="248"/>
      <c r="H58" s="248"/>
      <c r="I58" s="421"/>
      <c r="J58" s="421"/>
      <c r="K58" s="421"/>
    </row>
    <row r="59" spans="1:11" ht="45" customHeight="1" x14ac:dyDescent="0.2">
      <c r="A59" s="391"/>
      <c r="B59" s="246"/>
      <c r="C59" s="249"/>
      <c r="D59" s="246"/>
      <c r="E59" s="246"/>
      <c r="F59" s="246"/>
      <c r="G59" s="246"/>
      <c r="H59" s="246"/>
      <c r="I59" s="421"/>
      <c r="J59" s="421"/>
      <c r="K59" s="421"/>
    </row>
    <row r="60" spans="1:11" ht="15" customHeight="1" x14ac:dyDescent="0.2">
      <c r="A60" s="276">
        <v>46191</v>
      </c>
      <c r="B60" s="61" t="s">
        <v>2671</v>
      </c>
      <c r="C60" s="61" t="s">
        <v>2672</v>
      </c>
      <c r="D60" s="61" t="s">
        <v>2701</v>
      </c>
      <c r="E60" s="61" t="s">
        <v>2626</v>
      </c>
      <c r="F60" s="61" t="s">
        <v>2703</v>
      </c>
      <c r="G60" s="61" t="s">
        <v>2704</v>
      </c>
      <c r="H60" s="61"/>
      <c r="I60" s="278"/>
      <c r="J60" s="278"/>
      <c r="K60" s="278"/>
    </row>
    <row r="61" spans="1:11" ht="15" customHeight="1" x14ac:dyDescent="0.2">
      <c r="A61" s="276"/>
      <c r="B61" s="4" t="s">
        <v>328</v>
      </c>
      <c r="C61" s="4" t="s">
        <v>793</v>
      </c>
      <c r="D61" s="4" t="s">
        <v>1447</v>
      </c>
      <c r="E61" s="4" t="s">
        <v>2367</v>
      </c>
      <c r="F61" s="4" t="s">
        <v>2473</v>
      </c>
      <c r="G61" s="4" t="s">
        <v>2369</v>
      </c>
      <c r="H61" s="4"/>
      <c r="I61" s="278"/>
      <c r="J61" s="278"/>
      <c r="K61" s="278"/>
    </row>
    <row r="62" spans="1:11" ht="45" customHeight="1" x14ac:dyDescent="0.2">
      <c r="A62" s="276"/>
      <c r="B62" s="9">
        <v>8260101426</v>
      </c>
      <c r="C62" s="121" t="s">
        <v>2673</v>
      </c>
      <c r="D62" s="9">
        <v>8260101417</v>
      </c>
      <c r="E62" s="9">
        <v>8260101434</v>
      </c>
      <c r="F62" s="9" t="s">
        <v>2702</v>
      </c>
      <c r="G62" s="9">
        <v>8260101405</v>
      </c>
      <c r="H62" s="9"/>
      <c r="I62" s="278"/>
      <c r="J62" s="278"/>
      <c r="K62" s="278"/>
    </row>
    <row r="63" spans="1:11" x14ac:dyDescent="0.2">
      <c r="A63" s="276">
        <v>46192</v>
      </c>
      <c r="B63" s="61" t="s">
        <v>2706</v>
      </c>
      <c r="C63" s="61" t="s">
        <v>782</v>
      </c>
      <c r="D63" s="61" t="s">
        <v>2652</v>
      </c>
      <c r="E63" s="61" t="s">
        <v>2647</v>
      </c>
      <c r="F63" s="61" t="s">
        <v>2693</v>
      </c>
      <c r="G63" s="61" t="s">
        <v>2705</v>
      </c>
      <c r="H63" s="61"/>
      <c r="I63" s="319"/>
      <c r="J63" s="319"/>
      <c r="K63" s="319"/>
    </row>
    <row r="64" spans="1:11" x14ac:dyDescent="0.2">
      <c r="A64" s="276"/>
      <c r="B64" s="4" t="s">
        <v>793</v>
      </c>
      <c r="C64" s="4" t="s">
        <v>793</v>
      </c>
      <c r="D64" s="4" t="s">
        <v>1035</v>
      </c>
      <c r="E64" s="4" t="s">
        <v>2373</v>
      </c>
      <c r="F64" s="4" t="s">
        <v>2695</v>
      </c>
      <c r="G64" s="4" t="s">
        <v>2369</v>
      </c>
      <c r="H64" s="4"/>
      <c r="I64" s="319"/>
      <c r="J64" s="319"/>
      <c r="K64" s="319"/>
    </row>
    <row r="65" spans="1:16" s="6" customFormat="1" ht="45" customHeight="1" x14ac:dyDescent="0.2">
      <c r="A65" s="276"/>
      <c r="B65" s="9">
        <v>8260101514</v>
      </c>
      <c r="C65" s="121" t="s">
        <v>2694</v>
      </c>
      <c r="D65" s="121">
        <v>8260101503</v>
      </c>
      <c r="E65" s="9">
        <v>8260101497</v>
      </c>
      <c r="F65" s="9" t="s">
        <v>2696</v>
      </c>
      <c r="G65" s="9">
        <v>8260101511</v>
      </c>
      <c r="H65" s="9"/>
      <c r="I65" s="319"/>
      <c r="J65" s="319"/>
      <c r="K65" s="319"/>
    </row>
    <row r="66" spans="1:16" s="6" customFormat="1" x14ac:dyDescent="0.2">
      <c r="A66" s="157" t="s">
        <v>1274</v>
      </c>
      <c r="B66" s="143">
        <f t="shared" ref="B66:G66" si="1">B67+B68</f>
        <v>4</v>
      </c>
      <c r="C66" s="143">
        <f t="shared" si="1"/>
        <v>4</v>
      </c>
      <c r="D66" s="143">
        <f t="shared" si="1"/>
        <v>4</v>
      </c>
      <c r="E66" s="143">
        <f t="shared" si="1"/>
        <v>4</v>
      </c>
      <c r="F66" s="143">
        <f t="shared" si="1"/>
        <v>4</v>
      </c>
      <c r="G66" s="143">
        <f t="shared" si="1"/>
        <v>3</v>
      </c>
      <c r="H66" s="143"/>
      <c r="I66" s="113">
        <f>SUM(B66:H66)</f>
        <v>23</v>
      </c>
      <c r="J66" s="145"/>
      <c r="K66" s="145"/>
    </row>
    <row r="67" spans="1:16" s="6" customFormat="1" x14ac:dyDescent="0.2">
      <c r="A67" s="157" t="s">
        <v>1275</v>
      </c>
      <c r="B67" s="143">
        <v>3</v>
      </c>
      <c r="C67" s="143">
        <v>4</v>
      </c>
      <c r="D67" s="143">
        <v>4</v>
      </c>
      <c r="E67" s="143">
        <v>4</v>
      </c>
      <c r="F67" s="143">
        <v>4</v>
      </c>
      <c r="G67" s="143">
        <v>3</v>
      </c>
      <c r="H67" s="143"/>
      <c r="I67" s="113">
        <f>SUM(B67:H67)</f>
        <v>22</v>
      </c>
      <c r="J67" s="145"/>
      <c r="K67" s="145"/>
    </row>
    <row r="68" spans="1:16" s="6" customFormat="1" x14ac:dyDescent="0.2">
      <c r="A68" s="158" t="s">
        <v>1276</v>
      </c>
      <c r="B68" s="146">
        <v>1</v>
      </c>
      <c r="C68" s="146">
        <v>0</v>
      </c>
      <c r="D68" s="146">
        <v>0</v>
      </c>
      <c r="E68" s="146">
        <v>0</v>
      </c>
      <c r="F68" s="146">
        <v>0</v>
      </c>
      <c r="G68" s="146">
        <v>0</v>
      </c>
      <c r="H68" s="146"/>
      <c r="I68" s="151">
        <f>SUM(B68:H68)</f>
        <v>1</v>
      </c>
      <c r="J68" s="145"/>
      <c r="K68" s="145"/>
    </row>
    <row r="69" spans="1:16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6" x14ac:dyDescent="0.2">
      <c r="A70" s="279" t="s">
        <v>143</v>
      </c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38"/>
      <c r="O70" s="38"/>
      <c r="P70" s="38"/>
    </row>
    <row r="71" spans="1:16" ht="43.15" customHeight="1" x14ac:dyDescent="0.2">
      <c r="A71" s="280" t="s">
        <v>34</v>
      </c>
      <c r="B71" s="5" t="s">
        <v>144</v>
      </c>
      <c r="C71" s="5" t="s">
        <v>145</v>
      </c>
      <c r="D71" s="5" t="s">
        <v>146</v>
      </c>
      <c r="E71" s="5" t="s">
        <v>662</v>
      </c>
      <c r="F71" s="5" t="s">
        <v>148</v>
      </c>
      <c r="G71" s="5" t="s">
        <v>149</v>
      </c>
      <c r="H71" s="5" t="s">
        <v>150</v>
      </c>
      <c r="I71" s="5" t="s">
        <v>151</v>
      </c>
      <c r="J71" s="5" t="s">
        <v>152</v>
      </c>
      <c r="K71" s="5" t="s">
        <v>663</v>
      </c>
      <c r="L71" s="5"/>
      <c r="M71" s="282" t="s">
        <v>8</v>
      </c>
    </row>
    <row r="72" spans="1:16" x14ac:dyDescent="0.2">
      <c r="A72" s="280"/>
      <c r="B72" s="15" t="s">
        <v>153</v>
      </c>
      <c r="C72" s="15" t="s">
        <v>153</v>
      </c>
      <c r="D72" s="15" t="s">
        <v>154</v>
      </c>
      <c r="E72" s="15" t="s">
        <v>155</v>
      </c>
      <c r="F72" s="15" t="s">
        <v>156</v>
      </c>
      <c r="G72" s="15" t="s">
        <v>156</v>
      </c>
      <c r="H72" s="15" t="s">
        <v>45</v>
      </c>
      <c r="I72" s="15" t="s">
        <v>157</v>
      </c>
      <c r="J72" s="15" t="s">
        <v>157</v>
      </c>
      <c r="K72" s="15" t="s">
        <v>106</v>
      </c>
      <c r="L72" s="15"/>
      <c r="M72" s="282"/>
    </row>
    <row r="73" spans="1:16" x14ac:dyDescent="0.2">
      <c r="A73" s="379">
        <v>46188</v>
      </c>
      <c r="B73" s="61" t="s">
        <v>2589</v>
      </c>
      <c r="C73" s="61" t="s">
        <v>2590</v>
      </c>
      <c r="D73" s="61" t="s">
        <v>2591</v>
      </c>
      <c r="E73" s="61" t="s">
        <v>2592</v>
      </c>
      <c r="F73" s="61" t="s">
        <v>2593</v>
      </c>
      <c r="G73" s="61" t="s">
        <v>2594</v>
      </c>
      <c r="H73" s="61" t="s">
        <v>2595</v>
      </c>
      <c r="I73" s="61"/>
      <c r="J73" s="53"/>
      <c r="K73" s="66" t="s">
        <v>2596</v>
      </c>
      <c r="L73" s="66"/>
      <c r="M73" s="323"/>
    </row>
    <row r="74" spans="1:16" x14ac:dyDescent="0.2">
      <c r="A74" s="379"/>
      <c r="B74" s="4" t="s">
        <v>2373</v>
      </c>
      <c r="C74" s="4" t="s">
        <v>1898</v>
      </c>
      <c r="D74" s="4" t="s">
        <v>2387</v>
      </c>
      <c r="E74" s="4" t="s">
        <v>2373</v>
      </c>
      <c r="F74" s="4" t="s">
        <v>2373</v>
      </c>
      <c r="G74" s="4" t="s">
        <v>2587</v>
      </c>
      <c r="H74" s="4" t="s">
        <v>2387</v>
      </c>
      <c r="I74" s="4"/>
      <c r="J74" s="235"/>
      <c r="K74" s="78" t="s">
        <v>2371</v>
      </c>
      <c r="L74" s="78"/>
      <c r="M74" s="324"/>
    </row>
    <row r="75" spans="1:16" ht="45" customHeight="1" x14ac:dyDescent="0.2">
      <c r="A75" s="379"/>
      <c r="B75" s="9">
        <v>8260101269</v>
      </c>
      <c r="C75" s="9" t="s">
        <v>2514</v>
      </c>
      <c r="D75" s="9">
        <v>8260101253</v>
      </c>
      <c r="E75" s="9">
        <v>8260101280</v>
      </c>
      <c r="F75" s="9">
        <v>8260101257</v>
      </c>
      <c r="G75" s="9">
        <v>8260101286</v>
      </c>
      <c r="H75" s="9">
        <v>8260101275</v>
      </c>
      <c r="I75" s="9"/>
      <c r="J75" s="7"/>
      <c r="K75" s="9">
        <v>8260101287</v>
      </c>
      <c r="L75" s="9"/>
      <c r="M75" s="325"/>
    </row>
    <row r="76" spans="1:16" x14ac:dyDescent="0.2">
      <c r="A76" s="276">
        <v>46189</v>
      </c>
      <c r="B76" s="61" t="s">
        <v>2607</v>
      </c>
      <c r="C76" s="61" t="s">
        <v>2608</v>
      </c>
      <c r="D76" s="61" t="s">
        <v>2609</v>
      </c>
      <c r="E76" s="61" t="s">
        <v>2610</v>
      </c>
      <c r="F76" s="61" t="s">
        <v>2611</v>
      </c>
      <c r="G76" s="61" t="s">
        <v>2612</v>
      </c>
      <c r="H76" s="61" t="s">
        <v>2613</v>
      </c>
      <c r="I76" s="61"/>
      <c r="J76" s="51" t="s">
        <v>2614</v>
      </c>
      <c r="K76" s="66"/>
      <c r="L76" s="66"/>
      <c r="M76" s="323" t="s">
        <v>2663</v>
      </c>
    </row>
    <row r="77" spans="1:16" x14ac:dyDescent="0.2">
      <c r="A77" s="276"/>
      <c r="B77" s="4" t="s">
        <v>2373</v>
      </c>
      <c r="C77" s="4" t="s">
        <v>2378</v>
      </c>
      <c r="D77" s="4" t="s">
        <v>2373</v>
      </c>
      <c r="E77" s="4" t="s">
        <v>2373</v>
      </c>
      <c r="F77" s="4" t="s">
        <v>2373</v>
      </c>
      <c r="G77" s="4" t="s">
        <v>2367</v>
      </c>
      <c r="H77" s="4" t="s">
        <v>2367</v>
      </c>
      <c r="I77" s="4"/>
      <c r="J77" s="235" t="s">
        <v>2381</v>
      </c>
      <c r="K77" s="78"/>
      <c r="L77" s="78"/>
      <c r="M77" s="324"/>
    </row>
    <row r="78" spans="1:16" ht="45" customHeight="1" x14ac:dyDescent="0.2">
      <c r="A78" s="276"/>
      <c r="B78" s="9">
        <v>8260101322</v>
      </c>
      <c r="C78" s="9" t="s">
        <v>2540</v>
      </c>
      <c r="D78" s="9">
        <v>8260101342</v>
      </c>
      <c r="E78" s="9">
        <v>8260101330</v>
      </c>
      <c r="F78" s="9">
        <v>8260101329</v>
      </c>
      <c r="G78" s="9">
        <v>8260101355</v>
      </c>
      <c r="H78" s="9">
        <v>8260101321</v>
      </c>
      <c r="I78" s="9"/>
      <c r="J78" s="7">
        <v>8260101324</v>
      </c>
      <c r="K78" s="9"/>
      <c r="L78" s="9"/>
      <c r="M78" s="325"/>
    </row>
    <row r="79" spans="1:16" x14ac:dyDescent="0.2">
      <c r="A79" s="391">
        <v>46190</v>
      </c>
      <c r="B79" s="248"/>
      <c r="C79" s="248"/>
      <c r="D79" s="248"/>
      <c r="E79" s="248"/>
      <c r="F79" s="248"/>
      <c r="G79" s="248"/>
      <c r="H79" s="248"/>
      <c r="I79" s="248"/>
      <c r="J79" s="247"/>
      <c r="K79" s="83"/>
      <c r="L79" s="83"/>
      <c r="M79" s="418" t="s">
        <v>2547</v>
      </c>
    </row>
    <row r="80" spans="1:16" x14ac:dyDescent="0.2">
      <c r="A80" s="391"/>
      <c r="B80" s="248"/>
      <c r="C80" s="248"/>
      <c r="D80" s="248"/>
      <c r="E80" s="248"/>
      <c r="F80" s="248"/>
      <c r="G80" s="248"/>
      <c r="H80" s="248"/>
      <c r="I80" s="248"/>
      <c r="J80" s="247"/>
      <c r="K80" s="83"/>
      <c r="L80" s="83"/>
      <c r="M80" s="419"/>
    </row>
    <row r="81" spans="1:13" ht="45" customHeight="1" x14ac:dyDescent="0.2">
      <c r="A81" s="391"/>
      <c r="B81" s="246"/>
      <c r="C81" s="246"/>
      <c r="D81" s="246"/>
      <c r="E81" s="246"/>
      <c r="F81" s="246"/>
      <c r="G81" s="246"/>
      <c r="H81" s="246"/>
      <c r="I81" s="246"/>
      <c r="J81" s="245"/>
      <c r="K81" s="246"/>
      <c r="L81" s="246"/>
      <c r="M81" s="420"/>
    </row>
    <row r="82" spans="1:13" x14ac:dyDescent="0.2">
      <c r="A82" s="276">
        <v>46191</v>
      </c>
      <c r="B82" s="61" t="s">
        <v>2588</v>
      </c>
      <c r="C82" s="61" t="s">
        <v>2627</v>
      </c>
      <c r="D82" s="61" t="s">
        <v>1755</v>
      </c>
      <c r="E82" s="61" t="s">
        <v>2628</v>
      </c>
      <c r="F82" s="61" t="s">
        <v>2629</v>
      </c>
      <c r="G82" s="61" t="s">
        <v>2630</v>
      </c>
      <c r="H82" s="61" t="s">
        <v>2631</v>
      </c>
      <c r="I82" s="61"/>
      <c r="J82" s="53"/>
      <c r="K82" s="66"/>
      <c r="L82" s="66"/>
      <c r="M82" s="323"/>
    </row>
    <row r="83" spans="1:13" x14ac:dyDescent="0.2">
      <c r="A83" s="276"/>
      <c r="B83" s="4" t="s">
        <v>570</v>
      </c>
      <c r="C83" s="4" t="s">
        <v>2373</v>
      </c>
      <c r="D83" s="4" t="s">
        <v>2385</v>
      </c>
      <c r="E83" s="4" t="s">
        <v>2385</v>
      </c>
      <c r="F83" s="4" t="s">
        <v>570</v>
      </c>
      <c r="G83" s="4" t="s">
        <v>1898</v>
      </c>
      <c r="H83" s="4" t="s">
        <v>1898</v>
      </c>
      <c r="I83" s="4"/>
      <c r="J83" s="235"/>
      <c r="K83" s="78"/>
      <c r="L83" s="78"/>
      <c r="M83" s="324"/>
    </row>
    <row r="84" spans="1:13" ht="45" customHeight="1" x14ac:dyDescent="0.2">
      <c r="A84" s="276"/>
      <c r="B84" s="9">
        <v>8260101416</v>
      </c>
      <c r="C84" s="9" t="s">
        <v>2556</v>
      </c>
      <c r="D84" s="9">
        <v>8260101421</v>
      </c>
      <c r="E84" s="9">
        <v>8260101427</v>
      </c>
      <c r="F84" s="9">
        <v>8260101407</v>
      </c>
      <c r="G84" s="9">
        <v>8260101424</v>
      </c>
      <c r="H84" s="9">
        <v>8260101403</v>
      </c>
      <c r="I84" s="9"/>
      <c r="J84" s="7"/>
      <c r="K84" s="9"/>
      <c r="L84" s="9"/>
      <c r="M84" s="325"/>
    </row>
    <row r="85" spans="1:13" x14ac:dyDescent="0.2">
      <c r="A85" s="276">
        <v>46192</v>
      </c>
      <c r="B85" s="61" t="s">
        <v>2648</v>
      </c>
      <c r="C85" s="61" t="s">
        <v>2649</v>
      </c>
      <c r="D85" s="61" t="s">
        <v>2650</v>
      </c>
      <c r="E85" s="61" t="s">
        <v>2651</v>
      </c>
      <c r="F85" s="61" t="s">
        <v>2652</v>
      </c>
      <c r="G85" s="61" t="s">
        <v>2653</v>
      </c>
      <c r="H85" s="61" t="s">
        <v>2654</v>
      </c>
      <c r="I85" s="61"/>
      <c r="J85" s="53"/>
      <c r="K85" s="66"/>
      <c r="L85" s="66"/>
      <c r="M85" s="323"/>
    </row>
    <row r="86" spans="1:13" x14ac:dyDescent="0.2">
      <c r="A86" s="276"/>
      <c r="B86" s="4" t="s">
        <v>301</v>
      </c>
      <c r="C86" s="4" t="s">
        <v>323</v>
      </c>
      <c r="D86" s="4" t="s">
        <v>2367</v>
      </c>
      <c r="E86" s="4" t="s">
        <v>301</v>
      </c>
      <c r="F86" s="4" t="s">
        <v>301</v>
      </c>
      <c r="G86" s="4" t="s">
        <v>2367</v>
      </c>
      <c r="H86" s="4" t="s">
        <v>2367</v>
      </c>
      <c r="I86" s="4"/>
      <c r="J86" s="235"/>
      <c r="K86" s="78"/>
      <c r="L86" s="78"/>
      <c r="M86" s="324"/>
    </row>
    <row r="87" spans="1:13" ht="45" customHeight="1" x14ac:dyDescent="0.2">
      <c r="A87" s="276"/>
      <c r="B87" s="9">
        <v>8260101500</v>
      </c>
      <c r="C87" s="9" t="s">
        <v>2625</v>
      </c>
      <c r="D87" s="9">
        <v>8260101487</v>
      </c>
      <c r="E87" s="9">
        <v>8260101485</v>
      </c>
      <c r="F87" s="9">
        <v>8260101491</v>
      </c>
      <c r="G87" s="9">
        <v>8260101489</v>
      </c>
      <c r="H87" s="9">
        <v>8260101506</v>
      </c>
      <c r="I87" s="9"/>
      <c r="J87" s="7"/>
      <c r="K87" s="9"/>
      <c r="L87" s="9"/>
      <c r="M87" s="325"/>
    </row>
    <row r="88" spans="1:13" x14ac:dyDescent="0.2">
      <c r="A88" s="157" t="s">
        <v>1274</v>
      </c>
      <c r="B88" s="143">
        <f t="shared" ref="B88:K88" si="2">B89+B90</f>
        <v>4</v>
      </c>
      <c r="C88" s="143">
        <f t="shared" si="2"/>
        <v>4</v>
      </c>
      <c r="D88" s="143">
        <f t="shared" si="2"/>
        <v>4</v>
      </c>
      <c r="E88" s="143">
        <f t="shared" si="2"/>
        <v>4</v>
      </c>
      <c r="F88" s="143">
        <f t="shared" si="2"/>
        <v>4</v>
      </c>
      <c r="G88" s="143">
        <f t="shared" si="2"/>
        <v>4</v>
      </c>
      <c r="H88" s="143">
        <f t="shared" si="2"/>
        <v>4</v>
      </c>
      <c r="I88" s="143">
        <f t="shared" si="2"/>
        <v>0</v>
      </c>
      <c r="J88" s="143">
        <f t="shared" si="2"/>
        <v>1</v>
      </c>
      <c r="K88" s="143">
        <f t="shared" si="2"/>
        <v>1</v>
      </c>
      <c r="L88" s="143"/>
      <c r="M88" s="149">
        <f>SUM(B88:L88)</f>
        <v>30</v>
      </c>
    </row>
    <row r="89" spans="1:13" x14ac:dyDescent="0.2">
      <c r="A89" s="157" t="s">
        <v>1275</v>
      </c>
      <c r="B89" s="143">
        <v>4</v>
      </c>
      <c r="C89" s="143">
        <v>4</v>
      </c>
      <c r="D89" s="143">
        <v>4</v>
      </c>
      <c r="E89" s="143">
        <v>4</v>
      </c>
      <c r="F89" s="143">
        <v>4</v>
      </c>
      <c r="G89" s="143">
        <v>4</v>
      </c>
      <c r="H89" s="143">
        <v>4</v>
      </c>
      <c r="I89" s="143"/>
      <c r="J89" s="143">
        <v>0</v>
      </c>
      <c r="K89" s="143">
        <v>1</v>
      </c>
      <c r="L89" s="143"/>
      <c r="M89" s="149">
        <f>SUM(B89:L89)</f>
        <v>29</v>
      </c>
    </row>
    <row r="90" spans="1:13" x14ac:dyDescent="0.2">
      <c r="A90" s="158" t="s">
        <v>1276</v>
      </c>
      <c r="B90" s="146">
        <v>0</v>
      </c>
      <c r="C90" s="146">
        <v>0</v>
      </c>
      <c r="D90" s="146">
        <v>0</v>
      </c>
      <c r="E90" s="146">
        <v>0</v>
      </c>
      <c r="F90" s="146">
        <v>0</v>
      </c>
      <c r="G90" s="146">
        <v>0</v>
      </c>
      <c r="H90" s="146">
        <v>0</v>
      </c>
      <c r="I90" s="146"/>
      <c r="J90" s="146">
        <v>1</v>
      </c>
      <c r="K90" s="146">
        <v>0</v>
      </c>
      <c r="L90" s="146"/>
      <c r="M90" s="150">
        <f>SUM(B90:L90)</f>
        <v>1</v>
      </c>
    </row>
    <row r="92" spans="1:13" ht="28.9" customHeight="1" x14ac:dyDescent="0.2">
      <c r="A92" s="280" t="s">
        <v>34</v>
      </c>
      <c r="B92" s="5" t="s">
        <v>196</v>
      </c>
      <c r="C92" s="5" t="s">
        <v>472</v>
      </c>
      <c r="D92" s="5" t="s">
        <v>198</v>
      </c>
      <c r="E92" s="5" t="s">
        <v>199</v>
      </c>
      <c r="F92" s="5" t="s">
        <v>200</v>
      </c>
      <c r="G92" s="5" t="s">
        <v>201</v>
      </c>
      <c r="H92" s="5" t="s">
        <v>202</v>
      </c>
      <c r="I92" s="5" t="s">
        <v>203</v>
      </c>
      <c r="J92" s="5" t="s">
        <v>204</v>
      </c>
      <c r="K92" s="5" t="s">
        <v>1149</v>
      </c>
      <c r="L92" s="5"/>
      <c r="M92" s="104" t="s">
        <v>8</v>
      </c>
    </row>
    <row r="93" spans="1:13" x14ac:dyDescent="0.2">
      <c r="A93" s="280"/>
      <c r="B93" s="15" t="s">
        <v>153</v>
      </c>
      <c r="C93" s="15" t="s">
        <v>205</v>
      </c>
      <c r="D93" s="15" t="s">
        <v>206</v>
      </c>
      <c r="E93" s="15" t="s">
        <v>207</v>
      </c>
      <c r="F93" s="15" t="s">
        <v>208</v>
      </c>
      <c r="G93" s="15" t="s">
        <v>207</v>
      </c>
      <c r="H93" s="15" t="s">
        <v>103</v>
      </c>
      <c r="I93" s="15" t="s">
        <v>208</v>
      </c>
      <c r="J93" s="15" t="s">
        <v>209</v>
      </c>
      <c r="K93" s="15" t="s">
        <v>1150</v>
      </c>
      <c r="L93" s="15"/>
      <c r="M93" s="104"/>
    </row>
    <row r="94" spans="1:13" x14ac:dyDescent="0.2">
      <c r="A94" s="379">
        <v>46188</v>
      </c>
      <c r="B94" s="61" t="s">
        <v>2597</v>
      </c>
      <c r="C94" s="61" t="s">
        <v>2598</v>
      </c>
      <c r="D94" s="61" t="s">
        <v>2599</v>
      </c>
      <c r="E94" s="61" t="s">
        <v>2600</v>
      </c>
      <c r="F94" s="61" t="s">
        <v>2601</v>
      </c>
      <c r="G94" s="61" t="s">
        <v>2602</v>
      </c>
      <c r="H94" s="61" t="s">
        <v>2603</v>
      </c>
      <c r="I94" s="61" t="s">
        <v>2604</v>
      </c>
      <c r="J94" s="66"/>
      <c r="K94" s="66" t="s">
        <v>2605</v>
      </c>
      <c r="L94" s="66"/>
      <c r="M94" s="320"/>
    </row>
    <row r="95" spans="1:13" x14ac:dyDescent="0.2">
      <c r="A95" s="379"/>
      <c r="B95" s="4" t="s">
        <v>2381</v>
      </c>
      <c r="C95" s="4" t="s">
        <v>2381</v>
      </c>
      <c r="D95" s="4" t="s">
        <v>2385</v>
      </c>
      <c r="E95" s="4" t="s">
        <v>2385</v>
      </c>
      <c r="F95" s="4" t="s">
        <v>2371</v>
      </c>
      <c r="G95" s="4" t="s">
        <v>2371</v>
      </c>
      <c r="H95" s="4" t="s">
        <v>2393</v>
      </c>
      <c r="I95" s="4" t="s">
        <v>570</v>
      </c>
      <c r="J95" s="78"/>
      <c r="K95" s="78" t="s">
        <v>1898</v>
      </c>
      <c r="L95" s="78"/>
      <c r="M95" s="321"/>
    </row>
    <row r="96" spans="1:13" ht="45" customHeight="1" x14ac:dyDescent="0.2">
      <c r="A96" s="379"/>
      <c r="B96" s="9">
        <v>8260101281</v>
      </c>
      <c r="C96" s="9">
        <v>8260101266</v>
      </c>
      <c r="D96" s="9">
        <v>8260101285</v>
      </c>
      <c r="E96" s="9">
        <v>8260101262</v>
      </c>
      <c r="F96" s="9">
        <v>8260101282</v>
      </c>
      <c r="G96" s="9">
        <v>8260101259</v>
      </c>
      <c r="H96" s="9">
        <v>8260101284</v>
      </c>
      <c r="I96" s="9" t="s">
        <v>2515</v>
      </c>
      <c r="J96" s="9"/>
      <c r="K96" s="9">
        <v>8260101277</v>
      </c>
      <c r="L96" s="9"/>
      <c r="M96" s="322"/>
    </row>
    <row r="97" spans="1:13" x14ac:dyDescent="0.2">
      <c r="A97" s="276">
        <v>46189</v>
      </c>
      <c r="B97" s="61" t="s">
        <v>2615</v>
      </c>
      <c r="C97" s="61" t="s">
        <v>2616</v>
      </c>
      <c r="D97" s="61" t="s">
        <v>2617</v>
      </c>
      <c r="E97" s="61" t="s">
        <v>2618</v>
      </c>
      <c r="F97" s="61" t="s">
        <v>2619</v>
      </c>
      <c r="G97" s="61" t="s">
        <v>2620</v>
      </c>
      <c r="H97" s="61" t="s">
        <v>2621</v>
      </c>
      <c r="I97" s="61" t="s">
        <v>2622</v>
      </c>
      <c r="J97" s="53"/>
      <c r="K97" s="66" t="s">
        <v>2623</v>
      </c>
      <c r="L97" s="66"/>
      <c r="M97" s="320" t="s">
        <v>2697</v>
      </c>
    </row>
    <row r="98" spans="1:13" x14ac:dyDescent="0.2">
      <c r="A98" s="276"/>
      <c r="B98" s="4" t="s">
        <v>1898</v>
      </c>
      <c r="C98" s="4" t="s">
        <v>1898</v>
      </c>
      <c r="D98" s="4" t="s">
        <v>2385</v>
      </c>
      <c r="E98" s="4" t="s">
        <v>2385</v>
      </c>
      <c r="F98" s="4" t="s">
        <v>2387</v>
      </c>
      <c r="G98" s="4" t="s">
        <v>2387</v>
      </c>
      <c r="H98" s="4" t="s">
        <v>2387</v>
      </c>
      <c r="I98" s="4" t="s">
        <v>1447</v>
      </c>
      <c r="J98" s="235"/>
      <c r="K98" s="78" t="s">
        <v>2378</v>
      </c>
      <c r="L98" s="78"/>
      <c r="M98" s="321"/>
    </row>
    <row r="99" spans="1:13" ht="45" customHeight="1" x14ac:dyDescent="0.2">
      <c r="A99" s="276"/>
      <c r="B99" s="9">
        <v>8260101337</v>
      </c>
      <c r="C99" s="9">
        <v>8260101323</v>
      </c>
      <c r="D99" s="9">
        <v>8260101347</v>
      </c>
      <c r="E99" s="9">
        <v>8260101343</v>
      </c>
      <c r="F99" s="9">
        <v>8260101326</v>
      </c>
      <c r="G99" s="9">
        <v>8260101328</v>
      </c>
      <c r="H99" s="9">
        <v>8260101327</v>
      </c>
      <c r="I99" s="9" t="s">
        <v>2541</v>
      </c>
      <c r="J99" s="7"/>
      <c r="K99" s="9">
        <v>8260101325</v>
      </c>
      <c r="L99" s="9"/>
      <c r="M99" s="322"/>
    </row>
    <row r="100" spans="1:13" x14ac:dyDescent="0.2">
      <c r="A100" s="391">
        <v>46190</v>
      </c>
      <c r="B100" s="248"/>
      <c r="C100" s="248"/>
      <c r="D100" s="248"/>
      <c r="E100" s="248"/>
      <c r="F100" s="248"/>
      <c r="G100" s="248"/>
      <c r="H100" s="248"/>
      <c r="I100" s="248"/>
      <c r="J100" s="247"/>
      <c r="K100" s="83"/>
      <c r="L100" s="83"/>
      <c r="M100" s="415" t="s">
        <v>2547</v>
      </c>
    </row>
    <row r="101" spans="1:13" x14ac:dyDescent="0.2">
      <c r="A101" s="391"/>
      <c r="B101" s="248"/>
      <c r="C101" s="248"/>
      <c r="D101" s="248"/>
      <c r="E101" s="248"/>
      <c r="F101" s="248"/>
      <c r="G101" s="248"/>
      <c r="H101" s="248"/>
      <c r="I101" s="248"/>
      <c r="J101" s="247"/>
      <c r="K101" s="83"/>
      <c r="L101" s="83"/>
      <c r="M101" s="416"/>
    </row>
    <row r="102" spans="1:13" ht="45" customHeight="1" x14ac:dyDescent="0.2">
      <c r="A102" s="391"/>
      <c r="B102" s="246"/>
      <c r="C102" s="246"/>
      <c r="D102" s="246"/>
      <c r="E102" s="246"/>
      <c r="F102" s="246"/>
      <c r="G102" s="246"/>
      <c r="H102" s="246"/>
      <c r="I102" s="246"/>
      <c r="J102" s="245"/>
      <c r="K102" s="246"/>
      <c r="L102" s="246"/>
      <c r="M102" s="417"/>
    </row>
    <row r="103" spans="1:13" x14ac:dyDescent="0.2">
      <c r="A103" s="276">
        <v>46191</v>
      </c>
      <c r="B103" s="61" t="s">
        <v>2632</v>
      </c>
      <c r="C103" s="61" t="s">
        <v>2633</v>
      </c>
      <c r="D103" s="61" t="s">
        <v>2634</v>
      </c>
      <c r="E103" s="61" t="s">
        <v>1725</v>
      </c>
      <c r="F103" s="61" t="s">
        <v>2635</v>
      </c>
      <c r="G103" s="61" t="s">
        <v>2636</v>
      </c>
      <c r="H103" s="61" t="s">
        <v>2637</v>
      </c>
      <c r="I103" s="61" t="s">
        <v>2638</v>
      </c>
      <c r="J103" s="53"/>
      <c r="K103" s="66" t="s">
        <v>2639</v>
      </c>
      <c r="L103" s="66"/>
      <c r="M103" s="326"/>
    </row>
    <row r="104" spans="1:13" x14ac:dyDescent="0.2">
      <c r="A104" s="276"/>
      <c r="B104" s="4" t="s">
        <v>2371</v>
      </c>
      <c r="C104" s="4" t="s">
        <v>2371</v>
      </c>
      <c r="D104" s="4" t="s">
        <v>2371</v>
      </c>
      <c r="E104" s="4" t="s">
        <v>2393</v>
      </c>
      <c r="F104" s="4" t="s">
        <v>2378</v>
      </c>
      <c r="G104" s="4" t="s">
        <v>2378</v>
      </c>
      <c r="H104" s="4" t="s">
        <v>2378</v>
      </c>
      <c r="I104" s="4" t="s">
        <v>2381</v>
      </c>
      <c r="J104" s="235"/>
      <c r="K104" s="78" t="s">
        <v>2373</v>
      </c>
      <c r="L104" s="78"/>
      <c r="M104" s="327"/>
    </row>
    <row r="105" spans="1:13" ht="45" customHeight="1" x14ac:dyDescent="0.2">
      <c r="A105" s="276"/>
      <c r="B105" s="9">
        <v>8260101415</v>
      </c>
      <c r="C105" s="9">
        <v>8260101409</v>
      </c>
      <c r="D105" s="9">
        <v>8260101431</v>
      </c>
      <c r="E105" s="9">
        <v>8260101414</v>
      </c>
      <c r="F105" s="9">
        <v>8260101425</v>
      </c>
      <c r="G105" s="9">
        <v>8260101428</v>
      </c>
      <c r="H105" s="9">
        <v>8260101435</v>
      </c>
      <c r="I105" s="9" t="s">
        <v>2557</v>
      </c>
      <c r="J105" s="7"/>
      <c r="K105" s="9">
        <v>8260101410</v>
      </c>
      <c r="L105" s="9"/>
      <c r="M105" s="328"/>
    </row>
    <row r="106" spans="1:13" x14ac:dyDescent="0.2">
      <c r="A106" s="276">
        <v>46192</v>
      </c>
      <c r="B106" s="61" t="s">
        <v>2655</v>
      </c>
      <c r="C106" s="61" t="s">
        <v>2656</v>
      </c>
      <c r="D106" s="61" t="s">
        <v>2657</v>
      </c>
      <c r="E106" s="61" t="s">
        <v>2658</v>
      </c>
      <c r="F106" s="61" t="s">
        <v>2659</v>
      </c>
      <c r="G106" s="61" t="s">
        <v>2660</v>
      </c>
      <c r="H106" s="61" t="s">
        <v>2659</v>
      </c>
      <c r="I106" s="61" t="s">
        <v>2662</v>
      </c>
      <c r="J106" s="53"/>
      <c r="K106" s="66" t="s">
        <v>1767</v>
      </c>
      <c r="L106" s="66"/>
      <c r="M106" s="320" t="s">
        <v>2664</v>
      </c>
    </row>
    <row r="107" spans="1:13" ht="27.75" x14ac:dyDescent="0.2">
      <c r="A107" s="276"/>
      <c r="B107" s="4" t="s">
        <v>1898</v>
      </c>
      <c r="C107" s="4" t="s">
        <v>1898</v>
      </c>
      <c r="D107" s="4" t="s">
        <v>1898</v>
      </c>
      <c r="E107" s="4" t="s">
        <v>570</v>
      </c>
      <c r="F107" s="4" t="s">
        <v>2378</v>
      </c>
      <c r="G107" s="4" t="s">
        <v>2378</v>
      </c>
      <c r="H107" s="4" t="s">
        <v>2661</v>
      </c>
      <c r="I107" s="4" t="s">
        <v>2373</v>
      </c>
      <c r="J107" s="235"/>
      <c r="K107" s="78" t="s">
        <v>323</v>
      </c>
      <c r="L107" s="78"/>
      <c r="M107" s="321"/>
    </row>
    <row r="108" spans="1:13" ht="45" customHeight="1" x14ac:dyDescent="0.2">
      <c r="A108" s="276"/>
      <c r="B108" s="9">
        <v>8260101501</v>
      </c>
      <c r="C108" s="9">
        <v>8260101495</v>
      </c>
      <c r="D108" s="9">
        <v>8260101508</v>
      </c>
      <c r="E108" s="9">
        <v>8260101509</v>
      </c>
      <c r="F108" s="9">
        <v>8260101492</v>
      </c>
      <c r="G108" s="9">
        <v>8260101496</v>
      </c>
      <c r="H108" s="9">
        <v>8260101504</v>
      </c>
      <c r="I108" s="9" t="s">
        <v>2624</v>
      </c>
      <c r="J108" s="7"/>
      <c r="K108" s="9">
        <v>8260101480</v>
      </c>
      <c r="L108" s="9"/>
      <c r="M108" s="322"/>
    </row>
    <row r="109" spans="1:13" x14ac:dyDescent="0.2">
      <c r="A109" s="157" t="s">
        <v>1274</v>
      </c>
      <c r="B109" s="143">
        <f t="shared" ref="B109:K109" si="3">B110+B111</f>
        <v>4</v>
      </c>
      <c r="C109" s="143">
        <f t="shared" si="3"/>
        <v>4</v>
      </c>
      <c r="D109" s="143">
        <f t="shared" si="3"/>
        <v>4</v>
      </c>
      <c r="E109" s="143">
        <f t="shared" si="3"/>
        <v>4</v>
      </c>
      <c r="F109" s="143">
        <f t="shared" si="3"/>
        <v>4</v>
      </c>
      <c r="G109" s="143">
        <f t="shared" si="3"/>
        <v>4</v>
      </c>
      <c r="H109" s="143">
        <f t="shared" si="3"/>
        <v>4</v>
      </c>
      <c r="I109" s="143">
        <f t="shared" si="3"/>
        <v>4</v>
      </c>
      <c r="J109" s="143">
        <f t="shared" si="3"/>
        <v>0</v>
      </c>
      <c r="K109" s="143">
        <f t="shared" si="3"/>
        <v>4</v>
      </c>
      <c r="L109" s="143"/>
      <c r="M109" s="113">
        <f>SUM(B109:L109)</f>
        <v>36</v>
      </c>
    </row>
    <row r="110" spans="1:13" x14ac:dyDescent="0.2">
      <c r="A110" s="157" t="s">
        <v>1275</v>
      </c>
      <c r="B110" s="143">
        <v>4</v>
      </c>
      <c r="C110" s="143">
        <v>4</v>
      </c>
      <c r="D110" s="143">
        <v>4</v>
      </c>
      <c r="E110" s="143">
        <v>4</v>
      </c>
      <c r="F110" s="143">
        <v>4</v>
      </c>
      <c r="G110" s="143">
        <v>4</v>
      </c>
      <c r="H110" s="143">
        <v>4</v>
      </c>
      <c r="I110" s="143">
        <v>4</v>
      </c>
      <c r="J110" s="143">
        <v>0</v>
      </c>
      <c r="K110" s="143">
        <v>4</v>
      </c>
      <c r="L110" s="143"/>
      <c r="M110" s="113">
        <f>SUM(B110:L110)</f>
        <v>36</v>
      </c>
    </row>
    <row r="111" spans="1:13" x14ac:dyDescent="0.2">
      <c r="A111" s="158" t="s">
        <v>1276</v>
      </c>
      <c r="B111" s="146">
        <v>0</v>
      </c>
      <c r="C111" s="146">
        <v>0</v>
      </c>
      <c r="D111" s="146">
        <v>0</v>
      </c>
      <c r="E111" s="146">
        <v>0</v>
      </c>
      <c r="F111" s="146">
        <v>0</v>
      </c>
      <c r="G111" s="146">
        <v>0</v>
      </c>
      <c r="H111" s="146">
        <v>0</v>
      </c>
      <c r="I111" s="146">
        <v>0</v>
      </c>
      <c r="J111" s="146">
        <v>0</v>
      </c>
      <c r="K111" s="146">
        <v>0</v>
      </c>
      <c r="L111" s="146"/>
      <c r="M111" s="151">
        <f>SUM(B111:L111)</f>
        <v>0</v>
      </c>
    </row>
    <row r="113" spans="1:15" x14ac:dyDescent="0.2">
      <c r="A113" s="279" t="s">
        <v>252</v>
      </c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38"/>
      <c r="O113" s="38"/>
    </row>
    <row r="114" spans="1:15" ht="27.75" x14ac:dyDescent="0.2">
      <c r="A114" s="329" t="s">
        <v>34</v>
      </c>
      <c r="B114" s="82" t="s">
        <v>253</v>
      </c>
      <c r="C114" s="82" t="s">
        <v>254</v>
      </c>
      <c r="D114" s="82" t="s">
        <v>255</v>
      </c>
      <c r="E114" s="82" t="s">
        <v>256</v>
      </c>
      <c r="F114" s="82" t="s">
        <v>257</v>
      </c>
      <c r="G114" s="82" t="s">
        <v>258</v>
      </c>
      <c r="H114" s="82" t="s">
        <v>259</v>
      </c>
      <c r="I114" s="82" t="s">
        <v>260</v>
      </c>
      <c r="J114" s="82"/>
      <c r="K114" s="330" t="s">
        <v>8</v>
      </c>
      <c r="L114" s="330"/>
      <c r="M114" s="330"/>
    </row>
    <row r="115" spans="1:15" x14ac:dyDescent="0.2">
      <c r="A115" s="280"/>
      <c r="B115" s="15" t="s">
        <v>154</v>
      </c>
      <c r="C115" s="15" t="s">
        <v>261</v>
      </c>
      <c r="D115" s="15" t="s">
        <v>262</v>
      </c>
      <c r="E115" s="15" t="s">
        <v>42</v>
      </c>
      <c r="F115" s="15" t="s">
        <v>263</v>
      </c>
      <c r="G115" s="15" t="s">
        <v>264</v>
      </c>
      <c r="H115" s="15" t="s">
        <v>265</v>
      </c>
      <c r="I115" s="15" t="s">
        <v>263</v>
      </c>
      <c r="J115" s="15"/>
      <c r="K115" s="282"/>
      <c r="L115" s="282"/>
      <c r="M115" s="282"/>
    </row>
    <row r="116" spans="1:15" x14ac:dyDescent="0.2">
      <c r="A116" s="379">
        <v>46188</v>
      </c>
      <c r="B116" s="61" t="s">
        <v>2575</v>
      </c>
      <c r="C116" s="61" t="s">
        <v>2572</v>
      </c>
      <c r="D116" s="61" t="s">
        <v>2570</v>
      </c>
      <c r="E116" s="61" t="s">
        <v>2570</v>
      </c>
      <c r="F116" s="61" t="s">
        <v>2571</v>
      </c>
      <c r="G116" s="61" t="s">
        <v>2573</v>
      </c>
      <c r="H116" s="61" t="s">
        <v>2574</v>
      </c>
      <c r="I116" s="61"/>
      <c r="J116" s="61"/>
      <c r="K116" s="319"/>
      <c r="L116" s="319"/>
      <c r="M116" s="319"/>
    </row>
    <row r="117" spans="1:15" x14ac:dyDescent="0.2">
      <c r="A117" s="379"/>
      <c r="B117" s="4" t="s">
        <v>2576</v>
      </c>
      <c r="C117" s="4" t="s">
        <v>1882</v>
      </c>
      <c r="D117" s="4" t="s">
        <v>2338</v>
      </c>
      <c r="E117" s="4" t="s">
        <v>2338</v>
      </c>
      <c r="F117" s="4" t="s">
        <v>2338</v>
      </c>
      <c r="G117" s="4" t="s">
        <v>2338</v>
      </c>
      <c r="H117" s="4" t="s">
        <v>1882</v>
      </c>
      <c r="I117" s="4"/>
      <c r="J117" s="4"/>
      <c r="K117" s="319"/>
      <c r="L117" s="319"/>
      <c r="M117" s="319"/>
    </row>
    <row r="118" spans="1:15" ht="45" customHeight="1" x14ac:dyDescent="0.2">
      <c r="A118" s="379"/>
      <c r="B118" s="9">
        <v>8260101256</v>
      </c>
      <c r="C118" s="9">
        <v>8260101279</v>
      </c>
      <c r="D118" s="9">
        <v>8260101274</v>
      </c>
      <c r="E118" s="9">
        <v>8260101264</v>
      </c>
      <c r="F118" s="9">
        <v>8260101265</v>
      </c>
      <c r="G118" s="9">
        <v>8260101276</v>
      </c>
      <c r="H118" s="9">
        <v>8260101255</v>
      </c>
      <c r="I118" s="9"/>
      <c r="J118" s="9"/>
      <c r="K118" s="319"/>
      <c r="L118" s="319"/>
      <c r="M118" s="319"/>
    </row>
    <row r="119" spans="1:15" x14ac:dyDescent="0.2">
      <c r="A119" s="276">
        <v>46189</v>
      </c>
      <c r="B119" s="61" t="s">
        <v>2577</v>
      </c>
      <c r="C119" s="61" t="s">
        <v>2582</v>
      </c>
      <c r="D119" s="61" t="s">
        <v>2581</v>
      </c>
      <c r="E119" s="61" t="s">
        <v>2580</v>
      </c>
      <c r="F119" s="61" t="s">
        <v>2578</v>
      </c>
      <c r="G119" s="61" t="s">
        <v>2583</v>
      </c>
      <c r="H119" s="61" t="s">
        <v>2579</v>
      </c>
      <c r="I119" s="61"/>
      <c r="J119" s="61"/>
      <c r="K119" s="319" t="s">
        <v>2697</v>
      </c>
      <c r="L119" s="319"/>
      <c r="M119" s="319"/>
    </row>
    <row r="120" spans="1:15" x14ac:dyDescent="0.2">
      <c r="A120" s="276"/>
      <c r="B120" s="4" t="s">
        <v>2322</v>
      </c>
      <c r="C120" s="4" t="s">
        <v>1870</v>
      </c>
      <c r="D120" s="4" t="s">
        <v>2338</v>
      </c>
      <c r="E120" s="4" t="s">
        <v>2338</v>
      </c>
      <c r="F120" s="4" t="s">
        <v>2338</v>
      </c>
      <c r="G120" s="4" t="s">
        <v>2338</v>
      </c>
      <c r="H120" s="4" t="s">
        <v>1870</v>
      </c>
      <c r="I120" s="4"/>
      <c r="J120" s="4"/>
      <c r="K120" s="319"/>
      <c r="L120" s="319"/>
      <c r="M120" s="319"/>
    </row>
    <row r="121" spans="1:15" ht="45" customHeight="1" x14ac:dyDescent="0.2">
      <c r="A121" s="276"/>
      <c r="B121" s="9" t="s">
        <v>2584</v>
      </c>
      <c r="C121" s="9">
        <v>8260101354</v>
      </c>
      <c r="D121" s="9">
        <v>8260101346</v>
      </c>
      <c r="E121" s="9">
        <v>8260101332</v>
      </c>
      <c r="F121" s="9">
        <v>8260101349</v>
      </c>
      <c r="G121" s="9">
        <v>8260101351</v>
      </c>
      <c r="H121" s="9">
        <v>8260101348</v>
      </c>
      <c r="I121" s="9"/>
      <c r="J121" s="9"/>
      <c r="K121" s="319"/>
      <c r="L121" s="319"/>
      <c r="M121" s="319"/>
    </row>
    <row r="122" spans="1:15" x14ac:dyDescent="0.2">
      <c r="A122" s="391">
        <v>46190</v>
      </c>
      <c r="B122" s="248"/>
      <c r="C122" s="248"/>
      <c r="D122" s="248"/>
      <c r="E122" s="248"/>
      <c r="F122" s="248"/>
      <c r="G122" s="248"/>
      <c r="H122" s="248"/>
      <c r="I122" s="248"/>
      <c r="J122" s="248"/>
      <c r="K122" s="414" t="s">
        <v>2547</v>
      </c>
      <c r="L122" s="414"/>
      <c r="M122" s="414"/>
    </row>
    <row r="123" spans="1:15" x14ac:dyDescent="0.2">
      <c r="A123" s="391"/>
      <c r="B123" s="248"/>
      <c r="C123" s="248"/>
      <c r="D123" s="248"/>
      <c r="E123" s="248"/>
      <c r="F123" s="248"/>
      <c r="G123" s="248"/>
      <c r="H123" s="248"/>
      <c r="I123" s="248"/>
      <c r="J123" s="248"/>
      <c r="K123" s="414"/>
      <c r="L123" s="414"/>
      <c r="M123" s="414"/>
    </row>
    <row r="124" spans="1:15" ht="45" customHeight="1" x14ac:dyDescent="0.2">
      <c r="A124" s="391"/>
      <c r="B124" s="246"/>
      <c r="C124" s="246"/>
      <c r="D124" s="246"/>
      <c r="E124" s="246"/>
      <c r="F124" s="246"/>
      <c r="G124" s="246"/>
      <c r="H124" s="246"/>
      <c r="I124" s="246"/>
      <c r="J124" s="246"/>
      <c r="K124" s="414"/>
      <c r="L124" s="414"/>
      <c r="M124" s="414"/>
    </row>
    <row r="125" spans="1:15" x14ac:dyDescent="0.2">
      <c r="A125" s="276">
        <v>46191</v>
      </c>
      <c r="B125" s="61" t="s">
        <v>2644</v>
      </c>
      <c r="C125" s="61" t="s">
        <v>2641</v>
      </c>
      <c r="D125" s="61" t="s">
        <v>2643</v>
      </c>
      <c r="E125" s="61" t="s">
        <v>2643</v>
      </c>
      <c r="F125" s="61" t="s">
        <v>2641</v>
      </c>
      <c r="G125" s="61" t="s">
        <v>2642</v>
      </c>
      <c r="H125" s="61" t="s">
        <v>2640</v>
      </c>
      <c r="I125" s="61"/>
      <c r="J125" s="61"/>
      <c r="K125" s="331"/>
      <c r="L125" s="331"/>
      <c r="M125" s="331"/>
    </row>
    <row r="126" spans="1:15" x14ac:dyDescent="0.2">
      <c r="A126" s="276"/>
      <c r="B126" s="4" t="s">
        <v>2645</v>
      </c>
      <c r="C126" s="4" t="s">
        <v>2110</v>
      </c>
      <c r="D126" s="4" t="s">
        <v>2338</v>
      </c>
      <c r="E126" s="4" t="s">
        <v>2338</v>
      </c>
      <c r="F126" s="4" t="s">
        <v>2338</v>
      </c>
      <c r="G126" s="4" t="s">
        <v>2338</v>
      </c>
      <c r="H126" s="4" t="s">
        <v>2338</v>
      </c>
      <c r="I126" s="4"/>
      <c r="J126" s="4"/>
      <c r="K126" s="331"/>
      <c r="L126" s="331"/>
      <c r="M126" s="331"/>
    </row>
    <row r="127" spans="1:15" ht="45" customHeight="1" x14ac:dyDescent="0.2">
      <c r="A127" s="276"/>
      <c r="B127" s="9" t="s">
        <v>2585</v>
      </c>
      <c r="C127" s="9">
        <v>8260101433</v>
      </c>
      <c r="D127" s="9">
        <v>8260101432</v>
      </c>
      <c r="E127" s="9">
        <v>8260101423</v>
      </c>
      <c r="F127" s="9">
        <v>8260101422</v>
      </c>
      <c r="G127" s="9">
        <v>8260101413</v>
      </c>
      <c r="H127" s="9">
        <v>8260101419</v>
      </c>
      <c r="I127" s="9"/>
      <c r="J127" s="9"/>
      <c r="K127" s="331"/>
      <c r="L127" s="331"/>
      <c r="M127" s="331"/>
    </row>
    <row r="128" spans="1:15" x14ac:dyDescent="0.2">
      <c r="A128" s="276">
        <v>46192</v>
      </c>
      <c r="B128" s="61" t="s">
        <v>2689</v>
      </c>
      <c r="C128" s="61" t="s">
        <v>2692</v>
      </c>
      <c r="D128" s="61" t="s">
        <v>2690</v>
      </c>
      <c r="E128" s="61" t="s">
        <v>2690</v>
      </c>
      <c r="F128" s="61" t="s">
        <v>2691</v>
      </c>
      <c r="G128" s="61" t="s">
        <v>1832</v>
      </c>
      <c r="H128" s="61" t="s">
        <v>2699</v>
      </c>
      <c r="I128" s="61"/>
      <c r="J128" s="61"/>
      <c r="K128" s="278" t="s">
        <v>783</v>
      </c>
      <c r="L128" s="278"/>
      <c r="M128" s="278"/>
    </row>
    <row r="129" spans="1:13" x14ac:dyDescent="0.2">
      <c r="A129" s="276"/>
      <c r="B129" s="4" t="s">
        <v>2323</v>
      </c>
      <c r="C129" s="4" t="s">
        <v>2322</v>
      </c>
      <c r="D129" s="4" t="s">
        <v>2322</v>
      </c>
      <c r="E129" s="4" t="s">
        <v>2322</v>
      </c>
      <c r="F129" s="4" t="s">
        <v>2322</v>
      </c>
      <c r="G129" s="4" t="s">
        <v>2322</v>
      </c>
      <c r="H129" s="4" t="s">
        <v>1870</v>
      </c>
      <c r="I129" s="4"/>
      <c r="J129" s="4"/>
      <c r="K129" s="278"/>
      <c r="L129" s="278"/>
      <c r="M129" s="278"/>
    </row>
    <row r="130" spans="1:13" ht="45" customHeight="1" x14ac:dyDescent="0.2">
      <c r="A130" s="276"/>
      <c r="B130" s="9" t="s">
        <v>2646</v>
      </c>
      <c r="C130" s="9">
        <v>8260101512</v>
      </c>
      <c r="D130" s="9">
        <v>8260101515</v>
      </c>
      <c r="E130" s="9">
        <v>8260101493</v>
      </c>
      <c r="F130" s="9">
        <v>8260101498</v>
      </c>
      <c r="G130" s="9">
        <v>8260101490</v>
      </c>
      <c r="H130" s="9">
        <v>8260101499</v>
      </c>
      <c r="I130" s="9"/>
      <c r="J130" s="9"/>
      <c r="K130" s="278"/>
      <c r="L130" s="278"/>
      <c r="M130" s="278"/>
    </row>
    <row r="131" spans="1:13" x14ac:dyDescent="0.2">
      <c r="A131" s="157" t="s">
        <v>1274</v>
      </c>
      <c r="B131" s="143">
        <f t="shared" ref="B131:I131" si="4">B132+B133</f>
        <v>4</v>
      </c>
      <c r="C131" s="143">
        <f t="shared" si="4"/>
        <v>4</v>
      </c>
      <c r="D131" s="143">
        <f t="shared" si="4"/>
        <v>4</v>
      </c>
      <c r="E131" s="143">
        <f t="shared" si="4"/>
        <v>4</v>
      </c>
      <c r="F131" s="143">
        <f t="shared" si="4"/>
        <v>4</v>
      </c>
      <c r="G131" s="143">
        <f t="shared" si="4"/>
        <v>4</v>
      </c>
      <c r="H131" s="143">
        <f t="shared" si="4"/>
        <v>4</v>
      </c>
      <c r="I131" s="143">
        <f t="shared" si="4"/>
        <v>0</v>
      </c>
      <c r="J131" s="143"/>
      <c r="K131" s="92">
        <f>SUM(B131:J131)</f>
        <v>28</v>
      </c>
    </row>
    <row r="132" spans="1:13" x14ac:dyDescent="0.2">
      <c r="A132" s="157" t="s">
        <v>1275</v>
      </c>
      <c r="B132" s="143">
        <v>4</v>
      </c>
      <c r="C132" s="143">
        <v>4</v>
      </c>
      <c r="D132" s="143">
        <v>4</v>
      </c>
      <c r="E132" s="143">
        <v>4</v>
      </c>
      <c r="F132" s="143">
        <v>4</v>
      </c>
      <c r="G132" s="143">
        <v>4</v>
      </c>
      <c r="H132" s="143">
        <v>4</v>
      </c>
      <c r="I132" s="143">
        <v>0</v>
      </c>
      <c r="J132" s="143"/>
      <c r="K132" s="92">
        <f>SUM(B132:J132)</f>
        <v>28</v>
      </c>
    </row>
    <row r="133" spans="1:13" x14ac:dyDescent="0.2">
      <c r="A133" s="158" t="s">
        <v>1276</v>
      </c>
      <c r="B133" s="146">
        <v>0</v>
      </c>
      <c r="C133" s="146">
        <v>0</v>
      </c>
      <c r="D133" s="146">
        <v>0</v>
      </c>
      <c r="E133" s="146">
        <v>0</v>
      </c>
      <c r="F133" s="146">
        <v>0</v>
      </c>
      <c r="G133" s="146">
        <v>0</v>
      </c>
      <c r="H133" s="146">
        <v>0</v>
      </c>
      <c r="I133" s="146">
        <v>0</v>
      </c>
      <c r="J133" s="146"/>
      <c r="K133" s="152">
        <f>SUM(B133:J133)</f>
        <v>0</v>
      </c>
    </row>
  </sheetData>
  <mergeCells count="80">
    <mergeCell ref="A7:A9"/>
    <mergeCell ref="L7:M9"/>
    <mergeCell ref="A3:M3"/>
    <mergeCell ref="A4:A6"/>
    <mergeCell ref="B4:H4"/>
    <mergeCell ref="I4:K4"/>
    <mergeCell ref="L4:M6"/>
    <mergeCell ref="A10:A12"/>
    <mergeCell ref="L10:M12"/>
    <mergeCell ref="A13:A15"/>
    <mergeCell ref="L13:M15"/>
    <mergeCell ref="A16:A18"/>
    <mergeCell ref="L16:M18"/>
    <mergeCell ref="A19:A21"/>
    <mergeCell ref="L19:M21"/>
    <mergeCell ref="A26:A28"/>
    <mergeCell ref="B26:B27"/>
    <mergeCell ref="C26:C27"/>
    <mergeCell ref="D26:D27"/>
    <mergeCell ref="E26:H27"/>
    <mergeCell ref="A49:A50"/>
    <mergeCell ref="I49:K50"/>
    <mergeCell ref="A29:A31"/>
    <mergeCell ref="E29:H31"/>
    <mergeCell ref="A32:A34"/>
    <mergeCell ref="E32:H34"/>
    <mergeCell ref="A35:A37"/>
    <mergeCell ref="E35:H37"/>
    <mergeCell ref="A38:A40"/>
    <mergeCell ref="E38:H40"/>
    <mergeCell ref="A41:A43"/>
    <mergeCell ref="E41:H43"/>
    <mergeCell ref="A48:K48"/>
    <mergeCell ref="A71:A72"/>
    <mergeCell ref="M71:M72"/>
    <mergeCell ref="A51:A53"/>
    <mergeCell ref="I51:K53"/>
    <mergeCell ref="A54:A56"/>
    <mergeCell ref="I54:K56"/>
    <mergeCell ref="A57:A59"/>
    <mergeCell ref="I57:K59"/>
    <mergeCell ref="A60:A62"/>
    <mergeCell ref="I60:K62"/>
    <mergeCell ref="A63:A65"/>
    <mergeCell ref="I63:K65"/>
    <mergeCell ref="A70:M70"/>
    <mergeCell ref="A94:A96"/>
    <mergeCell ref="M94:M96"/>
    <mergeCell ref="A73:A75"/>
    <mergeCell ref="M73:M75"/>
    <mergeCell ref="A76:A78"/>
    <mergeCell ref="M76:M78"/>
    <mergeCell ref="A79:A81"/>
    <mergeCell ref="M79:M81"/>
    <mergeCell ref="A82:A84"/>
    <mergeCell ref="M82:M84"/>
    <mergeCell ref="A85:A87"/>
    <mergeCell ref="M85:M87"/>
    <mergeCell ref="A92:A93"/>
    <mergeCell ref="A116:A118"/>
    <mergeCell ref="K116:M118"/>
    <mergeCell ref="A97:A99"/>
    <mergeCell ref="M97:M99"/>
    <mergeCell ref="A100:A102"/>
    <mergeCell ref="M100:M102"/>
    <mergeCell ref="A103:A105"/>
    <mergeCell ref="M103:M105"/>
    <mergeCell ref="A106:A108"/>
    <mergeCell ref="M106:M108"/>
    <mergeCell ref="A113:M113"/>
    <mergeCell ref="A114:A115"/>
    <mergeCell ref="K114:M115"/>
    <mergeCell ref="A128:A130"/>
    <mergeCell ref="K128:M130"/>
    <mergeCell ref="A119:A121"/>
    <mergeCell ref="K119:M121"/>
    <mergeCell ref="A122:A124"/>
    <mergeCell ref="K122:M124"/>
    <mergeCell ref="A125:A127"/>
    <mergeCell ref="K125:M1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6B2A-4FC1-4EF2-B915-BF39F057322E}">
  <dimension ref="A1:K54"/>
  <sheetViews>
    <sheetView workbookViewId="0">
      <pane xSplit="1" ySplit="3" topLeftCell="B15" activePane="bottomRight" state="frozen"/>
      <selection pane="bottomLeft" activeCell="A4" sqref="A4"/>
      <selection pane="topRight" activeCell="B1" sqref="B1"/>
      <selection pane="bottomRight" activeCell="C48" sqref="C48"/>
    </sheetView>
  </sheetViews>
  <sheetFormatPr defaultRowHeight="15" x14ac:dyDescent="0.2"/>
  <cols>
    <col min="1" max="1" width="23.13671875" customWidth="1"/>
    <col min="2" max="2" width="17.890625" bestFit="1" customWidth="1"/>
    <col min="3" max="3" width="17.08203125" bestFit="1" customWidth="1"/>
    <col min="4" max="4" width="31.609375" bestFit="1" customWidth="1"/>
    <col min="5" max="5" width="16.6796875" bestFit="1" customWidth="1"/>
    <col min="6" max="6" width="23.26953125" style="3" bestFit="1" customWidth="1"/>
    <col min="7" max="7" width="16.27734375" bestFit="1" customWidth="1"/>
    <col min="8" max="8" width="80.30859375" style="99" bestFit="1" customWidth="1"/>
  </cols>
  <sheetData>
    <row r="1" spans="1:11" ht="18.75" x14ac:dyDescent="0.25">
      <c r="A1" s="1" t="s">
        <v>0</v>
      </c>
    </row>
    <row r="3" spans="1:11" ht="15.75" thickBot="1" x14ac:dyDescent="0.25">
      <c r="A3" s="189" t="s">
        <v>1</v>
      </c>
      <c r="B3" s="189" t="s">
        <v>2</v>
      </c>
      <c r="C3" s="189" t="s">
        <v>3</v>
      </c>
      <c r="D3" s="189" t="s">
        <v>4</v>
      </c>
      <c r="E3" s="189" t="s">
        <v>5</v>
      </c>
      <c r="F3" s="190" t="s">
        <v>6</v>
      </c>
      <c r="G3" s="189" t="s">
        <v>7</v>
      </c>
      <c r="H3" s="189" t="s">
        <v>8</v>
      </c>
    </row>
    <row r="4" spans="1:11" x14ac:dyDescent="0.2">
      <c r="A4" s="433">
        <v>46195</v>
      </c>
      <c r="B4" s="254" t="s">
        <v>9</v>
      </c>
      <c r="C4" s="254" t="s">
        <v>303</v>
      </c>
      <c r="D4" s="255" t="s">
        <v>2716</v>
      </c>
      <c r="E4" s="256">
        <v>0.41666666666666669</v>
      </c>
      <c r="F4" s="257">
        <v>0.44097222222222221</v>
      </c>
      <c r="G4" s="258"/>
      <c r="H4" s="267" t="s">
        <v>2730</v>
      </c>
    </row>
    <row r="5" spans="1:11" x14ac:dyDescent="0.2">
      <c r="A5" s="434"/>
      <c r="B5" s="8" t="s">
        <v>14</v>
      </c>
      <c r="C5" s="8" t="s">
        <v>305</v>
      </c>
      <c r="D5" s="8" t="s">
        <v>306</v>
      </c>
      <c r="E5" s="172">
        <v>0.54166666666666663</v>
      </c>
      <c r="F5" s="177">
        <v>0.46666666666666667</v>
      </c>
      <c r="G5" s="159"/>
      <c r="H5" s="268"/>
    </row>
    <row r="6" spans="1:11" x14ac:dyDescent="0.2">
      <c r="A6" s="434"/>
      <c r="B6" s="8" t="s">
        <v>20</v>
      </c>
      <c r="C6" s="10"/>
      <c r="D6" s="10"/>
      <c r="E6" s="172">
        <v>0.66666666666666663</v>
      </c>
      <c r="F6" s="177"/>
      <c r="G6" s="176"/>
      <c r="H6" s="268"/>
    </row>
    <row r="7" spans="1:11" ht="15" customHeight="1" x14ac:dyDescent="0.2">
      <c r="A7" s="434"/>
      <c r="B7" s="8" t="s">
        <v>22</v>
      </c>
      <c r="C7" s="8" t="s">
        <v>326</v>
      </c>
      <c r="D7" s="8" t="s">
        <v>2717</v>
      </c>
      <c r="E7" s="172">
        <v>0.70833333333333337</v>
      </c>
      <c r="F7" s="177">
        <v>0.70138888888888884</v>
      </c>
      <c r="G7" s="159"/>
      <c r="H7" s="268"/>
    </row>
    <row r="8" spans="1:11" ht="15" customHeight="1" x14ac:dyDescent="0.2">
      <c r="A8" s="434"/>
      <c r="B8" s="8" t="s">
        <v>26</v>
      </c>
      <c r="C8" s="8" t="s">
        <v>550</v>
      </c>
      <c r="D8" s="8" t="s">
        <v>559</v>
      </c>
      <c r="E8" s="172">
        <v>0.66666666666666663</v>
      </c>
      <c r="F8" s="177">
        <v>0.61319444444444449</v>
      </c>
      <c r="G8" s="159"/>
      <c r="H8" s="268"/>
    </row>
    <row r="9" spans="1:11" ht="15" customHeight="1" x14ac:dyDescent="0.2">
      <c r="A9" s="434"/>
      <c r="B9" s="8" t="s">
        <v>26</v>
      </c>
      <c r="C9" s="8" t="s">
        <v>1978</v>
      </c>
      <c r="D9" s="8" t="s">
        <v>554</v>
      </c>
      <c r="E9" s="172">
        <v>0.66666666666666663</v>
      </c>
      <c r="F9" s="177">
        <v>0.6381944444444444</v>
      </c>
      <c r="G9" s="159"/>
      <c r="H9" s="268"/>
    </row>
    <row r="10" spans="1:11" ht="15" customHeight="1" x14ac:dyDescent="0.2">
      <c r="A10" s="434"/>
      <c r="B10" s="8" t="s">
        <v>26</v>
      </c>
      <c r="C10" s="8" t="s">
        <v>336</v>
      </c>
      <c r="D10" s="8" t="s">
        <v>561</v>
      </c>
      <c r="E10" s="172">
        <v>0.66666666666666663</v>
      </c>
      <c r="F10" s="175">
        <v>0.68402777777777779</v>
      </c>
      <c r="G10" s="159"/>
      <c r="H10" s="268" t="s">
        <v>2731</v>
      </c>
    </row>
    <row r="11" spans="1:11" ht="15" customHeight="1" x14ac:dyDescent="0.2">
      <c r="A11" s="434"/>
      <c r="B11" s="8" t="s">
        <v>26</v>
      </c>
      <c r="C11" s="8" t="s">
        <v>320</v>
      </c>
      <c r="D11" s="8" t="s">
        <v>321</v>
      </c>
      <c r="E11" s="172">
        <v>0.66666666666666663</v>
      </c>
      <c r="F11" s="177">
        <v>0.63749999999999996</v>
      </c>
      <c r="G11" s="159"/>
      <c r="H11" s="268"/>
    </row>
    <row r="12" spans="1:11" ht="15" customHeight="1" x14ac:dyDescent="0.2">
      <c r="A12" s="434"/>
      <c r="B12" s="8" t="s">
        <v>26</v>
      </c>
      <c r="C12" s="8" t="s">
        <v>1979</v>
      </c>
      <c r="D12" s="8" t="s">
        <v>2732</v>
      </c>
      <c r="E12" s="172">
        <v>0.66666666666666663</v>
      </c>
      <c r="F12" s="175">
        <v>0.67083333333333328</v>
      </c>
      <c r="G12" s="159"/>
      <c r="H12" s="268" t="s">
        <v>2731</v>
      </c>
    </row>
    <row r="13" spans="1:11" ht="15" customHeight="1" thickBot="1" x14ac:dyDescent="0.25">
      <c r="A13" s="435"/>
      <c r="B13" s="261" t="s">
        <v>1443</v>
      </c>
      <c r="C13" s="261" t="s">
        <v>563</v>
      </c>
      <c r="D13" s="261" t="s">
        <v>792</v>
      </c>
      <c r="E13" s="262">
        <v>0.66666666666666663</v>
      </c>
      <c r="F13" s="263">
        <v>0.65902777777777777</v>
      </c>
      <c r="G13" s="264"/>
      <c r="H13" s="269"/>
      <c r="J13" s="2"/>
      <c r="K13" s="2"/>
    </row>
    <row r="14" spans="1:11" x14ac:dyDescent="0.2">
      <c r="A14" s="433">
        <v>46196</v>
      </c>
      <c r="B14" s="254" t="s">
        <v>9</v>
      </c>
      <c r="C14" s="254" t="s">
        <v>556</v>
      </c>
      <c r="D14" s="254" t="s">
        <v>2733</v>
      </c>
      <c r="E14" s="256">
        <v>0.41666666666666669</v>
      </c>
      <c r="F14" s="257">
        <v>0.42569444444444443</v>
      </c>
      <c r="G14" s="258"/>
      <c r="H14" s="267" t="s">
        <v>2749</v>
      </c>
    </row>
    <row r="15" spans="1:11" x14ac:dyDescent="0.2">
      <c r="A15" s="434"/>
      <c r="B15" s="8" t="s">
        <v>9</v>
      </c>
      <c r="C15" s="8" t="s">
        <v>326</v>
      </c>
      <c r="D15" s="8" t="s">
        <v>2717</v>
      </c>
      <c r="E15" s="172">
        <v>0.41666666666666669</v>
      </c>
      <c r="F15" s="177">
        <v>0.39791666666666664</v>
      </c>
      <c r="G15" s="159"/>
      <c r="H15" s="268"/>
    </row>
    <row r="16" spans="1:11" x14ac:dyDescent="0.2">
      <c r="A16" s="434"/>
      <c r="B16" s="8" t="s">
        <v>2734</v>
      </c>
      <c r="C16" s="8" t="s">
        <v>305</v>
      </c>
      <c r="D16" s="8" t="s">
        <v>306</v>
      </c>
      <c r="E16" s="172">
        <v>0.41666666666666669</v>
      </c>
      <c r="F16" s="177">
        <v>0.38472222222222224</v>
      </c>
      <c r="G16" s="159"/>
      <c r="H16" s="268"/>
    </row>
    <row r="17" spans="1:8" x14ac:dyDescent="0.2">
      <c r="A17" s="434"/>
      <c r="B17" s="8" t="s">
        <v>14</v>
      </c>
      <c r="C17" s="8" t="s">
        <v>320</v>
      </c>
      <c r="D17" s="8" t="s">
        <v>321</v>
      </c>
      <c r="E17" s="172">
        <v>0.54166666666666663</v>
      </c>
      <c r="F17" s="175">
        <v>0.55277777777777781</v>
      </c>
      <c r="G17" s="159"/>
      <c r="H17" s="268"/>
    </row>
    <row r="18" spans="1:8" x14ac:dyDescent="0.2">
      <c r="A18" s="434"/>
      <c r="B18" s="8" t="s">
        <v>20</v>
      </c>
      <c r="C18" s="10"/>
      <c r="D18" s="10"/>
      <c r="E18" s="172">
        <v>0.66666666666666663</v>
      </c>
      <c r="F18" s="177"/>
      <c r="G18" s="160"/>
      <c r="H18" s="268"/>
    </row>
    <row r="19" spans="1:8" x14ac:dyDescent="0.2">
      <c r="A19" s="434"/>
      <c r="B19" s="8" t="s">
        <v>22</v>
      </c>
      <c r="C19" s="8" t="s">
        <v>305</v>
      </c>
      <c r="D19" s="8" t="s">
        <v>306</v>
      </c>
      <c r="E19" s="172">
        <v>0.70833333333333337</v>
      </c>
      <c r="F19" s="177">
        <v>0.60486111111111107</v>
      </c>
      <c r="G19" s="159"/>
      <c r="H19" s="268"/>
    </row>
    <row r="20" spans="1:8" x14ac:dyDescent="0.2">
      <c r="A20" s="434"/>
      <c r="B20" s="8" t="s">
        <v>26</v>
      </c>
      <c r="C20" s="8" t="s">
        <v>336</v>
      </c>
      <c r="D20" s="8" t="s">
        <v>561</v>
      </c>
      <c r="E20" s="172">
        <v>0.66666666666666663</v>
      </c>
      <c r="F20" s="175">
        <v>0.67222222222222228</v>
      </c>
      <c r="G20" s="159"/>
      <c r="H20" s="268" t="s">
        <v>2751</v>
      </c>
    </row>
    <row r="21" spans="1:8" x14ac:dyDescent="0.2">
      <c r="A21" s="434"/>
      <c r="B21" s="8" t="s">
        <v>26</v>
      </c>
      <c r="C21" s="8" t="s">
        <v>565</v>
      </c>
      <c r="D21" s="8" t="s">
        <v>1037</v>
      </c>
      <c r="E21" s="172">
        <v>0.66666666666666663</v>
      </c>
      <c r="F21" s="175">
        <v>0.69930555555555551</v>
      </c>
      <c r="G21" s="159"/>
      <c r="H21" s="268" t="s">
        <v>2752</v>
      </c>
    </row>
    <row r="22" spans="1:8" x14ac:dyDescent="0.2">
      <c r="A22" s="434"/>
      <c r="B22" s="8" t="s">
        <v>26</v>
      </c>
      <c r="C22" s="8" t="s">
        <v>1979</v>
      </c>
      <c r="D22" s="8" t="s">
        <v>1662</v>
      </c>
      <c r="E22" s="172">
        <v>0.66666666666666663</v>
      </c>
      <c r="F22" s="177">
        <v>0.65694444444444444</v>
      </c>
      <c r="G22" s="159"/>
      <c r="H22" s="268"/>
    </row>
    <row r="23" spans="1:8" x14ac:dyDescent="0.2">
      <c r="A23" s="434"/>
      <c r="B23" s="8" t="s">
        <v>26</v>
      </c>
      <c r="C23" s="8" t="s">
        <v>303</v>
      </c>
      <c r="D23" s="8" t="s">
        <v>2750</v>
      </c>
      <c r="E23" s="172">
        <v>0.66666666666666663</v>
      </c>
      <c r="F23" s="175">
        <v>0.67986111111111114</v>
      </c>
      <c r="G23" s="159"/>
      <c r="H23" s="268" t="s">
        <v>2753</v>
      </c>
    </row>
    <row r="24" spans="1:8" ht="15.75" thickBot="1" x14ac:dyDescent="0.25">
      <c r="A24" s="435"/>
      <c r="B24" s="261" t="s">
        <v>1443</v>
      </c>
      <c r="C24" s="261" t="s">
        <v>801</v>
      </c>
      <c r="D24" s="261" t="s">
        <v>1224</v>
      </c>
      <c r="E24" s="262">
        <v>0.66666666666666663</v>
      </c>
      <c r="F24" s="270">
        <v>0.75416666666666665</v>
      </c>
      <c r="G24" s="264"/>
      <c r="H24" s="269" t="s">
        <v>2754</v>
      </c>
    </row>
    <row r="25" spans="1:8" x14ac:dyDescent="0.2">
      <c r="A25" s="433">
        <v>46197</v>
      </c>
      <c r="B25" s="254" t="s">
        <v>9</v>
      </c>
      <c r="C25" s="254" t="s">
        <v>303</v>
      </c>
      <c r="D25" s="254" t="s">
        <v>2750</v>
      </c>
      <c r="E25" s="256">
        <v>0.41666666666666669</v>
      </c>
      <c r="F25" s="257">
        <v>0.45694444444444443</v>
      </c>
      <c r="G25" s="258"/>
      <c r="H25" s="267" t="s">
        <v>2768</v>
      </c>
    </row>
    <row r="26" spans="1:8" x14ac:dyDescent="0.2">
      <c r="A26" s="434"/>
      <c r="B26" s="8" t="s">
        <v>14</v>
      </c>
      <c r="C26" s="8" t="s">
        <v>320</v>
      </c>
      <c r="D26" s="8" t="s">
        <v>321</v>
      </c>
      <c r="E26" s="172">
        <v>0.54166666666666663</v>
      </c>
      <c r="F26" s="177">
        <v>0.41875000000000001</v>
      </c>
      <c r="G26" s="159"/>
      <c r="H26" s="268"/>
    </row>
    <row r="27" spans="1:8" x14ac:dyDescent="0.2">
      <c r="A27" s="434"/>
      <c r="B27" s="8" t="s">
        <v>14</v>
      </c>
      <c r="C27" s="8" t="s">
        <v>305</v>
      </c>
      <c r="D27" s="8" t="s">
        <v>306</v>
      </c>
      <c r="E27" s="172">
        <v>0.54166666666666663</v>
      </c>
      <c r="F27" s="177">
        <v>0.40833333333333333</v>
      </c>
      <c r="G27" s="160"/>
      <c r="H27" s="268"/>
    </row>
    <row r="28" spans="1:8" x14ac:dyDescent="0.2">
      <c r="A28" s="434"/>
      <c r="B28" s="8" t="s">
        <v>22</v>
      </c>
      <c r="C28" s="8" t="s">
        <v>326</v>
      </c>
      <c r="D28" s="8" t="s">
        <v>2717</v>
      </c>
      <c r="E28" s="172">
        <v>0.70833333333333337</v>
      </c>
      <c r="F28" s="175">
        <v>0.77222222222222225</v>
      </c>
      <c r="G28" s="159"/>
      <c r="H28" s="268" t="s">
        <v>2776</v>
      </c>
    </row>
    <row r="29" spans="1:8" x14ac:dyDescent="0.2">
      <c r="A29" s="434"/>
      <c r="B29" s="8" t="s">
        <v>26</v>
      </c>
      <c r="C29" s="8" t="s">
        <v>323</v>
      </c>
      <c r="D29" s="8" t="s">
        <v>324</v>
      </c>
      <c r="E29" s="172">
        <v>0.66666666666666663</v>
      </c>
      <c r="F29" s="175">
        <v>0.74444444444444446</v>
      </c>
      <c r="G29" s="159"/>
      <c r="H29" s="268" t="s">
        <v>2778</v>
      </c>
    </row>
    <row r="30" spans="1:8" x14ac:dyDescent="0.2">
      <c r="A30" s="434"/>
      <c r="B30" s="8" t="s">
        <v>26</v>
      </c>
      <c r="C30" s="8" t="s">
        <v>1979</v>
      </c>
      <c r="D30" s="8" t="s">
        <v>1662</v>
      </c>
      <c r="E30" s="172">
        <v>0.66666666666666663</v>
      </c>
      <c r="F30" s="177">
        <v>0.64861111111111114</v>
      </c>
      <c r="G30" s="159"/>
      <c r="H30" s="268"/>
    </row>
    <row r="31" spans="1:8" ht="15.75" thickBot="1" x14ac:dyDescent="0.25">
      <c r="A31" s="435"/>
      <c r="B31" s="261" t="s">
        <v>1443</v>
      </c>
      <c r="C31" s="261" t="s">
        <v>563</v>
      </c>
      <c r="D31" s="261" t="s">
        <v>792</v>
      </c>
      <c r="E31" s="262">
        <v>0.66666666666666663</v>
      </c>
      <c r="F31" s="263">
        <v>0.6479166666666667</v>
      </c>
      <c r="G31" s="264"/>
      <c r="H31" s="269"/>
    </row>
    <row r="32" spans="1:8" x14ac:dyDescent="0.2">
      <c r="A32" s="433">
        <v>46198</v>
      </c>
      <c r="B32" s="254" t="s">
        <v>9</v>
      </c>
      <c r="C32" s="254" t="s">
        <v>301</v>
      </c>
      <c r="D32" s="255" t="s">
        <v>2342</v>
      </c>
      <c r="E32" s="256">
        <v>0.41666666666666669</v>
      </c>
      <c r="F32" s="257">
        <v>0.44374999999999998</v>
      </c>
      <c r="G32" s="258"/>
      <c r="H32" s="259" t="s">
        <v>2779</v>
      </c>
    </row>
    <row r="33" spans="1:8" x14ac:dyDescent="0.2">
      <c r="A33" s="434"/>
      <c r="B33" s="8" t="s">
        <v>14</v>
      </c>
      <c r="C33" s="8" t="s">
        <v>305</v>
      </c>
      <c r="D33" s="8" t="s">
        <v>306</v>
      </c>
      <c r="E33" s="172">
        <v>0.54166666666666663</v>
      </c>
      <c r="F33" s="177">
        <v>0.36875000000000002</v>
      </c>
      <c r="G33" s="159"/>
      <c r="H33" s="260"/>
    </row>
    <row r="34" spans="1:8" x14ac:dyDescent="0.2">
      <c r="A34" s="434"/>
      <c r="B34" s="8" t="s">
        <v>20</v>
      </c>
      <c r="C34" s="8" t="s">
        <v>320</v>
      </c>
      <c r="D34" s="8" t="s">
        <v>321</v>
      </c>
      <c r="E34" s="172">
        <v>0.66666666666666663</v>
      </c>
      <c r="F34" s="177">
        <v>0.36875000000000002</v>
      </c>
      <c r="G34" s="159"/>
      <c r="H34" s="260"/>
    </row>
    <row r="35" spans="1:8" x14ac:dyDescent="0.2">
      <c r="A35" s="434"/>
      <c r="B35" s="8" t="s">
        <v>22</v>
      </c>
      <c r="C35" s="8" t="s">
        <v>326</v>
      </c>
      <c r="D35" s="8" t="s">
        <v>302</v>
      </c>
      <c r="E35" s="172">
        <v>0.70833333333333337</v>
      </c>
      <c r="F35" s="177">
        <v>0.67222222222222228</v>
      </c>
      <c r="G35" s="159"/>
      <c r="H35" s="260"/>
    </row>
    <row r="36" spans="1:8" x14ac:dyDescent="0.2">
      <c r="A36" s="434"/>
      <c r="B36" s="8" t="s">
        <v>26</v>
      </c>
      <c r="C36" s="8" t="s">
        <v>811</v>
      </c>
      <c r="D36" s="8" t="s">
        <v>2912</v>
      </c>
      <c r="E36" s="172">
        <v>0.66666666666666663</v>
      </c>
      <c r="F36" s="177">
        <v>0.63124999999999998</v>
      </c>
      <c r="G36" s="159"/>
      <c r="H36" s="260"/>
    </row>
    <row r="37" spans="1:8" x14ac:dyDescent="0.2">
      <c r="A37" s="434"/>
      <c r="B37" s="8" t="s">
        <v>26</v>
      </c>
      <c r="C37" s="8" t="s">
        <v>307</v>
      </c>
      <c r="D37" s="8" t="s">
        <v>308</v>
      </c>
      <c r="E37" s="172">
        <v>0.66666666666666663</v>
      </c>
      <c r="F37" s="175">
        <v>0.67222222222222228</v>
      </c>
      <c r="G37" s="159"/>
      <c r="H37" s="260" t="s">
        <v>2915</v>
      </c>
    </row>
    <row r="38" spans="1:8" x14ac:dyDescent="0.2">
      <c r="A38" s="434"/>
      <c r="B38" s="8" t="s">
        <v>26</v>
      </c>
      <c r="C38" s="8" t="s">
        <v>1979</v>
      </c>
      <c r="D38" s="8" t="s">
        <v>1662</v>
      </c>
      <c r="E38" s="172">
        <v>0.66666666666666663</v>
      </c>
      <c r="F38" s="177">
        <v>0.64930555555555558</v>
      </c>
      <c r="G38" s="159"/>
      <c r="H38" s="260"/>
    </row>
    <row r="39" spans="1:8" ht="15.75" thickBot="1" x14ac:dyDescent="0.25">
      <c r="A39" s="435"/>
      <c r="B39" s="261" t="s">
        <v>1443</v>
      </c>
      <c r="C39" s="261" t="s">
        <v>1035</v>
      </c>
      <c r="D39" s="261" t="s">
        <v>330</v>
      </c>
      <c r="E39" s="262">
        <v>0.66666666666666663</v>
      </c>
      <c r="F39" s="263">
        <v>0.55694444444444446</v>
      </c>
      <c r="G39" s="264"/>
      <c r="H39" s="265"/>
    </row>
    <row r="40" spans="1:8" x14ac:dyDescent="0.2">
      <c r="A40" s="436">
        <v>46199</v>
      </c>
      <c r="B40" s="254" t="s">
        <v>9</v>
      </c>
      <c r="C40" s="254" t="s">
        <v>305</v>
      </c>
      <c r="D40" s="254" t="s">
        <v>306</v>
      </c>
      <c r="E40" s="256">
        <v>0.41666666666666669</v>
      </c>
      <c r="F40" s="266"/>
      <c r="G40" s="258"/>
      <c r="H40" s="259"/>
    </row>
    <row r="41" spans="1:8" x14ac:dyDescent="0.2">
      <c r="A41" s="437"/>
      <c r="B41" s="8" t="s">
        <v>14</v>
      </c>
      <c r="C41" s="8" t="s">
        <v>320</v>
      </c>
      <c r="D41" s="8" t="s">
        <v>321</v>
      </c>
      <c r="E41" s="172">
        <v>0.54166666666666663</v>
      </c>
      <c r="F41" s="177"/>
      <c r="G41" s="159"/>
      <c r="H41" s="260"/>
    </row>
    <row r="42" spans="1:8" x14ac:dyDescent="0.2">
      <c r="A42" s="437"/>
      <c r="B42" s="8" t="s">
        <v>20</v>
      </c>
      <c r="C42" s="8"/>
      <c r="D42" s="8"/>
      <c r="E42" s="172">
        <v>0.66666666666666663</v>
      </c>
      <c r="F42" s="177"/>
      <c r="G42" s="159"/>
      <c r="H42" s="260"/>
    </row>
    <row r="43" spans="1:8" x14ac:dyDescent="0.2">
      <c r="A43" s="437"/>
      <c r="B43" s="8" t="s">
        <v>22</v>
      </c>
      <c r="C43" s="8" t="s">
        <v>326</v>
      </c>
      <c r="D43" s="8" t="s">
        <v>1223</v>
      </c>
      <c r="E43" s="172">
        <v>0.70833333333333337</v>
      </c>
      <c r="F43" s="177"/>
      <c r="G43" s="159"/>
      <c r="H43" s="260"/>
    </row>
    <row r="44" spans="1:8" x14ac:dyDescent="0.2">
      <c r="A44" s="437"/>
      <c r="B44" s="8" t="s">
        <v>26</v>
      </c>
      <c r="C44" s="8" t="s">
        <v>309</v>
      </c>
      <c r="D44" s="8" t="s">
        <v>310</v>
      </c>
      <c r="E44" s="172">
        <v>0.66666666666666663</v>
      </c>
      <c r="F44" s="177"/>
      <c r="G44" s="159"/>
      <c r="H44" s="260"/>
    </row>
    <row r="45" spans="1:8" x14ac:dyDescent="0.2">
      <c r="A45" s="437"/>
      <c r="B45" s="8" t="s">
        <v>26</v>
      </c>
      <c r="C45" s="8" t="s">
        <v>301</v>
      </c>
      <c r="D45" s="8" t="s">
        <v>1224</v>
      </c>
      <c r="E45" s="172">
        <v>0.66666666666666663</v>
      </c>
      <c r="F45" s="177"/>
      <c r="G45" s="159"/>
      <c r="H45" s="260"/>
    </row>
    <row r="46" spans="1:8" x14ac:dyDescent="0.2">
      <c r="A46" s="437"/>
      <c r="B46" s="8" t="s">
        <v>26</v>
      </c>
      <c r="C46" s="8" t="s">
        <v>311</v>
      </c>
      <c r="D46" s="8" t="s">
        <v>312</v>
      </c>
      <c r="E46" s="172">
        <v>0.66666666666666663</v>
      </c>
      <c r="F46" s="177"/>
      <c r="G46" s="159"/>
      <c r="H46" s="260"/>
    </row>
    <row r="47" spans="1:8" x14ac:dyDescent="0.2">
      <c r="A47" s="437"/>
      <c r="B47" s="8" t="s">
        <v>26</v>
      </c>
      <c r="C47" s="8" t="s">
        <v>1979</v>
      </c>
      <c r="D47" s="8" t="s">
        <v>1662</v>
      </c>
      <c r="E47" s="172">
        <v>0.66666666666666663</v>
      </c>
      <c r="F47" s="177"/>
      <c r="G47" s="159"/>
      <c r="H47" s="260"/>
    </row>
    <row r="48" spans="1:8" x14ac:dyDescent="0.2">
      <c r="A48" s="437"/>
      <c r="B48" s="271" t="s">
        <v>26</v>
      </c>
      <c r="C48" s="271" t="s">
        <v>793</v>
      </c>
      <c r="D48" s="271"/>
      <c r="E48" s="272"/>
      <c r="F48" s="273"/>
      <c r="G48" s="274"/>
      <c r="H48" s="275"/>
    </row>
    <row r="49" spans="1:8" ht="15.75" thickBot="1" x14ac:dyDescent="0.25">
      <c r="A49" s="438"/>
      <c r="B49" s="261" t="s">
        <v>1443</v>
      </c>
      <c r="C49" s="261" t="s">
        <v>570</v>
      </c>
      <c r="D49" s="261" t="s">
        <v>2913</v>
      </c>
      <c r="E49" s="262">
        <v>0.66666666666666663</v>
      </c>
      <c r="F49" s="263"/>
      <c r="G49" s="264"/>
      <c r="H49" s="265"/>
    </row>
    <row r="51" spans="1:8" x14ac:dyDescent="0.2">
      <c r="A51" s="96" t="s">
        <v>1228</v>
      </c>
      <c r="B51" s="386"/>
      <c r="C51" s="387"/>
    </row>
    <row r="52" spans="1:8" x14ac:dyDescent="0.2">
      <c r="A52" s="96" t="s">
        <v>1229</v>
      </c>
      <c r="B52" s="78"/>
      <c r="C52" s="179" t="e">
        <f>B52/B51</f>
        <v>#DIV/0!</v>
      </c>
    </row>
    <row r="53" spans="1:8" x14ac:dyDescent="0.2">
      <c r="A53" s="96" t="s">
        <v>1230</v>
      </c>
      <c r="B53" s="97"/>
      <c r="C53" s="180" t="e">
        <f>B53/B51</f>
        <v>#DIV/0!</v>
      </c>
    </row>
    <row r="54" spans="1:8" x14ac:dyDescent="0.2">
      <c r="B54" s="141"/>
    </row>
  </sheetData>
  <autoFilter ref="A3:H49" xr:uid="{007222C0-65E8-4432-AB3E-97A35AC12FA3}"/>
  <mergeCells count="6">
    <mergeCell ref="B51:C51"/>
    <mergeCell ref="A4:A13"/>
    <mergeCell ref="A14:A24"/>
    <mergeCell ref="A25:A31"/>
    <mergeCell ref="A32:A39"/>
    <mergeCell ref="A40:A49"/>
  </mergeCells>
  <conditionalFormatting sqref="F4:F49">
    <cfRule type="expression" dxfId="4" priority="1">
      <formula>AND(F4&lt;=E4,F4&lt;&gt;"")</formula>
    </cfRule>
    <cfRule type="expression" dxfId="3" priority="2">
      <formula>F4&gt;E4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2F05-F632-41BF-8A5C-649902CA2FF7}">
  <dimension ref="A1:P133"/>
  <sheetViews>
    <sheetView tabSelected="1" topLeftCell="A48" zoomScale="90" zoomScaleNormal="90" workbookViewId="0">
      <selection activeCell="G63" sqref="G63"/>
    </sheetView>
  </sheetViews>
  <sheetFormatPr defaultRowHeight="15" x14ac:dyDescent="0.2"/>
  <cols>
    <col min="1" max="1" width="24.078125" customWidth="1"/>
    <col min="2" max="2" width="20.58203125" style="2" customWidth="1"/>
    <col min="3" max="12" width="20.58203125" customWidth="1"/>
    <col min="13" max="13" width="58.91796875" customWidth="1"/>
    <col min="14" max="23" width="20.58203125" customWidth="1"/>
  </cols>
  <sheetData>
    <row r="1" spans="1:13" ht="18.75" x14ac:dyDescent="0.25">
      <c r="A1" s="1" t="s">
        <v>32</v>
      </c>
    </row>
    <row r="3" spans="1:13" x14ac:dyDescent="0.2">
      <c r="A3" s="279" t="s">
        <v>33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</row>
    <row r="4" spans="1:13" x14ac:dyDescent="0.2">
      <c r="A4" s="280" t="s">
        <v>34</v>
      </c>
      <c r="B4" s="281" t="s">
        <v>9</v>
      </c>
      <c r="C4" s="281"/>
      <c r="D4" s="281"/>
      <c r="E4" s="281"/>
      <c r="F4" s="281"/>
      <c r="G4" s="281"/>
      <c r="H4" s="281"/>
      <c r="I4" s="281" t="s">
        <v>22</v>
      </c>
      <c r="J4" s="281"/>
      <c r="K4" s="281"/>
      <c r="L4" s="282" t="s">
        <v>8</v>
      </c>
      <c r="M4" s="282"/>
    </row>
    <row r="5" spans="1:13" ht="28.9" customHeight="1" x14ac:dyDescent="0.2">
      <c r="A5" s="280"/>
      <c r="B5" s="4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1997</v>
      </c>
      <c r="H5" s="5" t="s">
        <v>40</v>
      </c>
      <c r="I5" s="4" t="s">
        <v>35</v>
      </c>
      <c r="J5" s="5" t="s">
        <v>36</v>
      </c>
      <c r="K5" s="5" t="s">
        <v>37</v>
      </c>
      <c r="L5" s="282"/>
      <c r="M5" s="282"/>
    </row>
    <row r="6" spans="1:13" x14ac:dyDescent="0.2">
      <c r="A6" s="280"/>
      <c r="B6" s="14" t="s">
        <v>41</v>
      </c>
      <c r="C6" s="15" t="s">
        <v>42</v>
      </c>
      <c r="D6" s="15" t="s">
        <v>42</v>
      </c>
      <c r="E6" s="15" t="s">
        <v>43</v>
      </c>
      <c r="F6" s="15" t="s">
        <v>44</v>
      </c>
      <c r="G6" s="15" t="s">
        <v>264</v>
      </c>
      <c r="H6" s="15" t="s">
        <v>45</v>
      </c>
      <c r="I6" s="15" t="s">
        <v>46</v>
      </c>
      <c r="J6" s="15" t="s">
        <v>47</v>
      </c>
      <c r="K6" s="15" t="s">
        <v>47</v>
      </c>
      <c r="L6" s="282"/>
      <c r="M6" s="282"/>
    </row>
    <row r="7" spans="1:13" x14ac:dyDescent="0.2">
      <c r="A7" s="276">
        <v>46195</v>
      </c>
      <c r="B7" s="53" t="s">
        <v>833</v>
      </c>
      <c r="C7" s="53" t="s">
        <v>2726</v>
      </c>
      <c r="D7" s="53" t="s">
        <v>2726</v>
      </c>
      <c r="E7" s="53"/>
      <c r="F7" s="53"/>
      <c r="G7" s="53"/>
      <c r="H7" s="53"/>
      <c r="I7" s="74" t="s">
        <v>2723</v>
      </c>
      <c r="J7" s="74" t="s">
        <v>2725</v>
      </c>
      <c r="K7" s="74" t="s">
        <v>2725</v>
      </c>
      <c r="L7" s="277"/>
      <c r="M7" s="278"/>
    </row>
    <row r="8" spans="1:13" x14ac:dyDescent="0.2">
      <c r="A8" s="276"/>
      <c r="B8" s="235" t="s">
        <v>2720</v>
      </c>
      <c r="C8" s="235" t="s">
        <v>2720</v>
      </c>
      <c r="D8" s="235" t="s">
        <v>2720</v>
      </c>
      <c r="E8" s="235"/>
      <c r="F8" s="235"/>
      <c r="G8" s="235"/>
      <c r="H8" s="235"/>
      <c r="I8" s="235" t="s">
        <v>2721</v>
      </c>
      <c r="J8" s="235" t="s">
        <v>2721</v>
      </c>
      <c r="K8" s="235" t="s">
        <v>2721</v>
      </c>
      <c r="L8" s="278"/>
      <c r="M8" s="278"/>
    </row>
    <row r="9" spans="1:13" ht="68.25" x14ac:dyDescent="0.2">
      <c r="A9" s="276"/>
      <c r="B9" s="9" t="s">
        <v>2722</v>
      </c>
      <c r="C9" s="9" t="s">
        <v>2724</v>
      </c>
      <c r="D9" s="9" t="s">
        <v>2727</v>
      </c>
      <c r="E9" s="9"/>
      <c r="F9" s="9"/>
      <c r="G9" s="9"/>
      <c r="H9" s="9"/>
      <c r="I9" s="9">
        <v>8260101598</v>
      </c>
      <c r="J9" s="9">
        <v>8260101596</v>
      </c>
      <c r="K9" s="9">
        <v>8260101597</v>
      </c>
      <c r="L9" s="278"/>
      <c r="M9" s="278"/>
    </row>
    <row r="10" spans="1:13" x14ac:dyDescent="0.2">
      <c r="A10" s="276">
        <v>46196</v>
      </c>
      <c r="B10" s="53" t="s">
        <v>2738</v>
      </c>
      <c r="C10" s="53" t="s">
        <v>2743</v>
      </c>
      <c r="D10" s="53" t="s">
        <v>2743</v>
      </c>
      <c r="E10" s="53" t="s">
        <v>2741</v>
      </c>
      <c r="F10" s="53" t="s">
        <v>2745</v>
      </c>
      <c r="G10" s="53"/>
      <c r="H10" s="53"/>
      <c r="I10" s="74" t="s">
        <v>2739</v>
      </c>
      <c r="J10" s="74" t="s">
        <v>2742</v>
      </c>
      <c r="K10" s="74" t="s">
        <v>2742</v>
      </c>
      <c r="L10" s="283"/>
      <c r="M10" s="283"/>
    </row>
    <row r="11" spans="1:13" x14ac:dyDescent="0.2">
      <c r="A11" s="276"/>
      <c r="B11" s="235" t="s">
        <v>2713</v>
      </c>
      <c r="C11" s="235" t="s">
        <v>2713</v>
      </c>
      <c r="D11" s="235" t="s">
        <v>2713</v>
      </c>
      <c r="E11" s="235" t="s">
        <v>2721</v>
      </c>
      <c r="F11" s="235" t="s">
        <v>2721</v>
      </c>
      <c r="G11" s="235"/>
      <c r="H11" s="235"/>
      <c r="I11" s="235" t="s">
        <v>2709</v>
      </c>
      <c r="J11" s="235" t="s">
        <v>2709</v>
      </c>
      <c r="K11" s="235" t="s">
        <v>2709</v>
      </c>
      <c r="L11" s="283"/>
      <c r="M11" s="283"/>
    </row>
    <row r="12" spans="1:13" ht="68.25" x14ac:dyDescent="0.2">
      <c r="A12" s="276"/>
      <c r="B12" s="9" t="s">
        <v>2737</v>
      </c>
      <c r="C12" s="9">
        <v>8260101611</v>
      </c>
      <c r="D12" s="9">
        <v>8260101613</v>
      </c>
      <c r="E12" s="9" t="s">
        <v>2740</v>
      </c>
      <c r="F12" s="9" t="s">
        <v>2744</v>
      </c>
      <c r="G12" s="9"/>
      <c r="H12" s="9"/>
      <c r="I12" s="9">
        <v>8260101670</v>
      </c>
      <c r="J12" s="9">
        <v>8260101668</v>
      </c>
      <c r="K12" s="9">
        <v>8260101669</v>
      </c>
      <c r="L12" s="283"/>
      <c r="M12" s="283"/>
    </row>
    <row r="13" spans="1:13" ht="15" customHeight="1" x14ac:dyDescent="0.2">
      <c r="A13" s="276">
        <v>46197</v>
      </c>
      <c r="B13" s="51" t="s">
        <v>2770</v>
      </c>
      <c r="C13" s="51" t="s">
        <v>2773</v>
      </c>
      <c r="D13" s="51" t="s">
        <v>2773</v>
      </c>
      <c r="E13" s="53"/>
      <c r="F13" s="53"/>
      <c r="G13" s="53"/>
      <c r="H13" s="53"/>
      <c r="I13" s="251" t="s">
        <v>2771</v>
      </c>
      <c r="J13" s="198" t="s">
        <v>2774</v>
      </c>
      <c r="K13" s="198" t="s">
        <v>2774</v>
      </c>
      <c r="L13" s="284" t="s">
        <v>2777</v>
      </c>
      <c r="M13" s="285"/>
    </row>
    <row r="14" spans="1:13" ht="15" customHeight="1" x14ac:dyDescent="0.2">
      <c r="A14" s="276"/>
      <c r="B14" s="235" t="s">
        <v>2720</v>
      </c>
      <c r="C14" s="235" t="s">
        <v>2720</v>
      </c>
      <c r="D14" s="235" t="s">
        <v>2720</v>
      </c>
      <c r="E14" s="235"/>
      <c r="F14" s="235"/>
      <c r="G14" s="235"/>
      <c r="H14" s="235"/>
      <c r="I14" s="235" t="s">
        <v>2721</v>
      </c>
      <c r="J14" s="235" t="s">
        <v>2721</v>
      </c>
      <c r="K14" s="235" t="s">
        <v>2721</v>
      </c>
      <c r="L14" s="285"/>
      <c r="M14" s="285"/>
    </row>
    <row r="15" spans="1:13" ht="68.25" x14ac:dyDescent="0.2">
      <c r="A15" s="276"/>
      <c r="B15" s="9" t="s">
        <v>2769</v>
      </c>
      <c r="C15" s="9" t="s">
        <v>2772</v>
      </c>
      <c r="D15" s="9" t="s">
        <v>2775</v>
      </c>
      <c r="E15" s="9"/>
      <c r="F15" s="9"/>
      <c r="G15" s="9"/>
      <c r="H15" s="9"/>
      <c r="I15" s="9">
        <v>8260101745</v>
      </c>
      <c r="J15" s="9">
        <v>8260101743</v>
      </c>
      <c r="K15" s="9">
        <v>8260101744</v>
      </c>
      <c r="L15" s="285"/>
      <c r="M15" s="285"/>
    </row>
    <row r="16" spans="1:13" x14ac:dyDescent="0.2">
      <c r="A16" s="276">
        <v>46198</v>
      </c>
      <c r="B16" s="51" t="s">
        <v>2901</v>
      </c>
      <c r="C16" s="51" t="s">
        <v>2906</v>
      </c>
      <c r="D16" s="51" t="s">
        <v>2906</v>
      </c>
      <c r="E16" s="53" t="s">
        <v>2904</v>
      </c>
      <c r="F16" s="53" t="s">
        <v>2908</v>
      </c>
      <c r="G16" s="53"/>
      <c r="H16" s="53"/>
      <c r="I16" s="74" t="s">
        <v>2902</v>
      </c>
      <c r="J16" s="74" t="s">
        <v>2907</v>
      </c>
      <c r="K16" s="74" t="s">
        <v>2907</v>
      </c>
      <c r="L16" s="278" t="s">
        <v>1250</v>
      </c>
      <c r="M16" s="278"/>
    </row>
    <row r="17" spans="1:13" x14ac:dyDescent="0.2">
      <c r="A17" s="276"/>
      <c r="B17" s="235" t="s">
        <v>2909</v>
      </c>
      <c r="C17" s="235" t="s">
        <v>2909</v>
      </c>
      <c r="D17" s="235" t="s">
        <v>2909</v>
      </c>
      <c r="E17" s="235" t="s">
        <v>2909</v>
      </c>
      <c r="F17" s="235" t="s">
        <v>2909</v>
      </c>
      <c r="G17" s="235"/>
      <c r="H17" s="235"/>
      <c r="I17" s="235" t="s">
        <v>2707</v>
      </c>
      <c r="J17" s="235" t="s">
        <v>2707</v>
      </c>
      <c r="K17" s="235" t="s">
        <v>2707</v>
      </c>
      <c r="L17" s="278"/>
      <c r="M17" s="278"/>
    </row>
    <row r="18" spans="1:13" ht="69.95" customHeight="1" x14ac:dyDescent="0.2">
      <c r="A18" s="276"/>
      <c r="B18" s="9" t="s">
        <v>2898</v>
      </c>
      <c r="C18" s="9" t="s">
        <v>2905</v>
      </c>
      <c r="D18" s="9">
        <v>8260101760</v>
      </c>
      <c r="E18" s="9" t="s">
        <v>2903</v>
      </c>
      <c r="F18" s="7">
        <v>8260101764</v>
      </c>
      <c r="G18" s="7"/>
      <c r="H18" s="7"/>
      <c r="I18" s="9">
        <v>8260101825</v>
      </c>
      <c r="J18" s="9">
        <v>8260101826</v>
      </c>
      <c r="K18" s="7">
        <v>8260101824</v>
      </c>
      <c r="L18" s="278"/>
      <c r="M18" s="278"/>
    </row>
    <row r="19" spans="1:13" ht="15" customHeight="1" x14ac:dyDescent="0.2">
      <c r="A19" s="276">
        <v>46199</v>
      </c>
      <c r="B19" s="53"/>
      <c r="C19" s="53"/>
      <c r="D19" s="53"/>
      <c r="E19" s="53"/>
      <c r="F19" s="53"/>
      <c r="G19" s="53"/>
      <c r="H19" s="53"/>
      <c r="I19" s="74"/>
      <c r="J19" s="74"/>
      <c r="K19" s="74"/>
      <c r="L19" s="278"/>
      <c r="M19" s="278"/>
    </row>
    <row r="20" spans="1:13" ht="15" customHeight="1" x14ac:dyDescent="0.2">
      <c r="A20" s="276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78"/>
      <c r="M20" s="278"/>
    </row>
    <row r="21" spans="1:13" ht="69.95" customHeight="1" x14ac:dyDescent="0.2">
      <c r="A21" s="276"/>
      <c r="B21" s="9"/>
      <c r="C21" s="9"/>
      <c r="D21" s="9"/>
      <c r="E21" s="9"/>
      <c r="F21" s="9"/>
      <c r="G21" s="9"/>
      <c r="H21" s="9"/>
      <c r="I21" s="9"/>
      <c r="J21" s="9"/>
      <c r="K21" s="7"/>
      <c r="L21" s="278"/>
      <c r="M21" s="278"/>
    </row>
    <row r="22" spans="1:13" x14ac:dyDescent="0.2">
      <c r="A22" s="157" t="s">
        <v>1274</v>
      </c>
      <c r="B22" s="143">
        <f t="shared" ref="B22:K22" si="0">B23+B24</f>
        <v>0</v>
      </c>
      <c r="C22" s="143">
        <f t="shared" si="0"/>
        <v>0</v>
      </c>
      <c r="D22" s="143">
        <f t="shared" si="0"/>
        <v>0</v>
      </c>
      <c r="E22" s="143">
        <f t="shared" si="0"/>
        <v>0</v>
      </c>
      <c r="F22" s="143">
        <f t="shared" si="0"/>
        <v>0</v>
      </c>
      <c r="G22" s="143">
        <f t="shared" si="0"/>
        <v>0</v>
      </c>
      <c r="H22" s="143">
        <f t="shared" si="0"/>
        <v>0</v>
      </c>
      <c r="I22" s="143">
        <f t="shared" si="0"/>
        <v>0</v>
      </c>
      <c r="J22" s="143">
        <f t="shared" si="0"/>
        <v>0</v>
      </c>
      <c r="K22" s="143">
        <f t="shared" si="0"/>
        <v>0</v>
      </c>
      <c r="L22" s="149">
        <f>SUM(B22:K22)</f>
        <v>0</v>
      </c>
      <c r="M22" s="144"/>
    </row>
    <row r="23" spans="1:13" x14ac:dyDescent="0.2">
      <c r="A23" s="157" t="s">
        <v>1275</v>
      </c>
      <c r="B23" s="143"/>
      <c r="C23" s="143"/>
      <c r="D23" s="143"/>
      <c r="E23" s="143"/>
      <c r="F23" s="143"/>
      <c r="G23" s="143"/>
      <c r="H23" s="143"/>
      <c r="I23" s="3"/>
      <c r="J23" s="3"/>
      <c r="K23" s="3"/>
      <c r="L23" s="149">
        <f>SUM(B23:K23)</f>
        <v>0</v>
      </c>
      <c r="M23" s="144"/>
    </row>
    <row r="24" spans="1:13" x14ac:dyDescent="0.2">
      <c r="A24" s="158" t="s">
        <v>1276</v>
      </c>
      <c r="B24" s="148"/>
      <c r="C24" s="148"/>
      <c r="D24" s="148"/>
      <c r="E24" s="148"/>
      <c r="F24" s="148"/>
      <c r="G24" s="148"/>
      <c r="H24" s="148"/>
      <c r="I24" s="147"/>
      <c r="J24" s="147"/>
      <c r="K24" s="147"/>
      <c r="L24" s="150">
        <f>SUM(B24:K24)</f>
        <v>0</v>
      </c>
    </row>
    <row r="25" spans="1:13" x14ac:dyDescent="0.2">
      <c r="C25" s="2"/>
      <c r="D25" s="2"/>
      <c r="E25" s="2"/>
      <c r="F25" s="2"/>
      <c r="G25" s="2"/>
      <c r="H25" s="2"/>
    </row>
    <row r="26" spans="1:13" ht="15" customHeight="1" x14ac:dyDescent="0.2">
      <c r="A26" s="280" t="s">
        <v>34</v>
      </c>
      <c r="B26" s="286" t="s">
        <v>379</v>
      </c>
      <c r="C26" s="286" t="s">
        <v>83</v>
      </c>
      <c r="D26" s="286" t="s">
        <v>84</v>
      </c>
      <c r="E26" s="287" t="s">
        <v>8</v>
      </c>
      <c r="F26" s="287"/>
      <c r="G26" s="287"/>
      <c r="H26" s="288"/>
    </row>
    <row r="27" spans="1:13" x14ac:dyDescent="0.2">
      <c r="A27" s="280"/>
      <c r="B27" s="286"/>
      <c r="C27" s="286"/>
      <c r="D27" s="286"/>
      <c r="E27" s="289"/>
      <c r="F27" s="289"/>
      <c r="G27" s="289"/>
      <c r="H27" s="290"/>
    </row>
    <row r="28" spans="1:13" x14ac:dyDescent="0.2">
      <c r="A28" s="280"/>
      <c r="B28" s="14" t="s">
        <v>380</v>
      </c>
      <c r="C28" s="15" t="s">
        <v>381</v>
      </c>
      <c r="D28" s="15" t="s">
        <v>382</v>
      </c>
      <c r="E28" s="130"/>
      <c r="F28" s="130"/>
      <c r="G28" s="130"/>
      <c r="H28" s="131"/>
    </row>
    <row r="29" spans="1:13" s="6" customFormat="1" x14ac:dyDescent="0.2">
      <c r="A29" s="276">
        <v>46195</v>
      </c>
      <c r="B29" s="56" t="s">
        <v>2729</v>
      </c>
      <c r="C29" s="53"/>
      <c r="D29" s="53"/>
      <c r="E29" s="292"/>
      <c r="F29" s="293"/>
      <c r="G29" s="293"/>
      <c r="H29" s="294"/>
    </row>
    <row r="30" spans="1:13" s="6" customFormat="1" x14ac:dyDescent="0.2">
      <c r="A30" s="276"/>
      <c r="B30" s="235" t="s">
        <v>2709</v>
      </c>
      <c r="C30" s="235"/>
      <c r="D30" s="235"/>
      <c r="E30" s="295"/>
      <c r="F30" s="296"/>
      <c r="G30" s="296"/>
      <c r="H30" s="297"/>
    </row>
    <row r="31" spans="1:13" s="6" customFormat="1" ht="108" x14ac:dyDescent="0.2">
      <c r="A31" s="276"/>
      <c r="B31" s="9" t="s">
        <v>2728</v>
      </c>
      <c r="C31" s="9"/>
      <c r="D31" s="7"/>
      <c r="E31" s="298"/>
      <c r="F31" s="299"/>
      <c r="G31" s="299"/>
      <c r="H31" s="300"/>
      <c r="J31" s="110"/>
      <c r="K31" s="110"/>
    </row>
    <row r="32" spans="1:13" s="6" customFormat="1" x14ac:dyDescent="0.2">
      <c r="A32" s="276">
        <v>46196</v>
      </c>
      <c r="B32" s="74" t="s">
        <v>2748</v>
      </c>
      <c r="C32" s="53"/>
      <c r="D32" s="53"/>
      <c r="E32" s="301"/>
      <c r="F32" s="302"/>
      <c r="G32" s="302"/>
      <c r="H32" s="303"/>
    </row>
    <row r="33" spans="1:13" s="6" customFormat="1" x14ac:dyDescent="0.2">
      <c r="A33" s="276"/>
      <c r="B33" s="239" t="s">
        <v>2747</v>
      </c>
      <c r="C33" s="235"/>
      <c r="D33" s="235"/>
      <c r="E33" s="304"/>
      <c r="F33" s="305"/>
      <c r="G33" s="305"/>
      <c r="H33" s="306"/>
    </row>
    <row r="34" spans="1:13" s="6" customFormat="1" ht="69.95" customHeight="1" x14ac:dyDescent="0.2">
      <c r="A34" s="276"/>
      <c r="B34" s="9" t="s">
        <v>2746</v>
      </c>
      <c r="C34" s="7"/>
      <c r="D34" s="7"/>
      <c r="E34" s="307"/>
      <c r="F34" s="308"/>
      <c r="G34" s="308"/>
      <c r="H34" s="309"/>
    </row>
    <row r="35" spans="1:13" s="6" customFormat="1" ht="27.75" x14ac:dyDescent="0.2">
      <c r="A35" s="276">
        <v>46197</v>
      </c>
      <c r="B35" s="61" t="s">
        <v>2900</v>
      </c>
      <c r="C35" s="53"/>
      <c r="D35" s="53"/>
      <c r="E35" s="292"/>
      <c r="F35" s="293"/>
      <c r="G35" s="293"/>
      <c r="H35" s="294"/>
    </row>
    <row r="36" spans="1:13" s="6" customFormat="1" ht="27.75" x14ac:dyDescent="0.2">
      <c r="A36" s="276"/>
      <c r="B36" s="250" t="s">
        <v>2899</v>
      </c>
      <c r="C36" s="235"/>
      <c r="D36" s="235"/>
      <c r="E36" s="295"/>
      <c r="F36" s="296"/>
      <c r="G36" s="296"/>
      <c r="H36" s="297"/>
    </row>
    <row r="37" spans="1:13" s="6" customFormat="1" ht="87.6" customHeight="1" x14ac:dyDescent="0.2">
      <c r="A37" s="276"/>
      <c r="B37" s="9" t="s">
        <v>2765</v>
      </c>
      <c r="C37" s="9"/>
      <c r="D37" s="7"/>
      <c r="E37" s="298"/>
      <c r="F37" s="299"/>
      <c r="G37" s="299"/>
      <c r="H37" s="300"/>
    </row>
    <row r="38" spans="1:13" s="6" customFormat="1" x14ac:dyDescent="0.2">
      <c r="A38" s="276">
        <v>46198</v>
      </c>
      <c r="B38" s="56" t="s">
        <v>2914</v>
      </c>
      <c r="C38" s="56" t="s">
        <v>2902</v>
      </c>
      <c r="D38" s="53"/>
      <c r="E38" s="292"/>
      <c r="F38" s="293"/>
      <c r="G38" s="293"/>
      <c r="H38" s="294"/>
    </row>
    <row r="39" spans="1:13" s="6" customFormat="1" x14ac:dyDescent="0.2">
      <c r="A39" s="276"/>
      <c r="B39" s="236" t="s">
        <v>2709</v>
      </c>
      <c r="C39" s="239" t="s">
        <v>2747</v>
      </c>
      <c r="D39" s="235"/>
      <c r="E39" s="295"/>
      <c r="F39" s="296"/>
      <c r="G39" s="296"/>
      <c r="H39" s="297"/>
    </row>
    <row r="40" spans="1:13" s="6" customFormat="1" ht="65.099999999999994" customHeight="1" x14ac:dyDescent="0.2">
      <c r="A40" s="276"/>
      <c r="B40" s="9" t="s">
        <v>2910</v>
      </c>
      <c r="C40" s="9" t="s">
        <v>2911</v>
      </c>
      <c r="D40" s="7"/>
      <c r="E40" s="298"/>
      <c r="F40" s="299"/>
      <c r="G40" s="299"/>
      <c r="H40" s="300"/>
    </row>
    <row r="41" spans="1:13" s="6" customFormat="1" x14ac:dyDescent="0.2">
      <c r="A41" s="276">
        <v>46199</v>
      </c>
      <c r="B41" s="74"/>
      <c r="C41" s="53"/>
      <c r="D41" s="53"/>
      <c r="E41" s="310"/>
      <c r="F41" s="311"/>
      <c r="G41" s="311"/>
      <c r="H41" s="312"/>
    </row>
    <row r="42" spans="1:13" s="6" customFormat="1" x14ac:dyDescent="0.2">
      <c r="A42" s="276"/>
      <c r="B42" s="239" t="s">
        <v>2747</v>
      </c>
      <c r="C42" s="235"/>
      <c r="D42" s="235"/>
      <c r="E42" s="313"/>
      <c r="F42" s="314"/>
      <c r="G42" s="314"/>
      <c r="H42" s="315"/>
    </row>
    <row r="43" spans="1:13" s="6" customFormat="1" ht="100.9" customHeight="1" x14ac:dyDescent="0.2">
      <c r="A43" s="276"/>
      <c r="B43" s="9" t="s">
        <v>2954</v>
      </c>
      <c r="C43" s="7"/>
      <c r="D43" s="7"/>
      <c r="E43" s="316"/>
      <c r="F43" s="317"/>
      <c r="G43" s="317"/>
      <c r="H43" s="318"/>
    </row>
    <row r="44" spans="1:13" s="6" customFormat="1" x14ac:dyDescent="0.2">
      <c r="A44" s="157" t="s">
        <v>1274</v>
      </c>
      <c r="B44" s="143">
        <f>B45+B46</f>
        <v>0</v>
      </c>
      <c r="C44" s="143">
        <f>C45+C46</f>
        <v>0</v>
      </c>
      <c r="D44" s="143">
        <f>D45+D46</f>
        <v>0</v>
      </c>
      <c r="E44" s="149">
        <f>SUM(B44:D44)</f>
        <v>0</v>
      </c>
      <c r="F44" s="108"/>
      <c r="G44" s="108"/>
      <c r="H44" s="108"/>
    </row>
    <row r="45" spans="1:13" s="6" customFormat="1" x14ac:dyDescent="0.2">
      <c r="A45" s="157" t="s">
        <v>1275</v>
      </c>
      <c r="B45" s="143"/>
      <c r="C45" s="3"/>
      <c r="D45" s="3"/>
      <c r="E45" s="149">
        <f>SUM(B45:D45)</f>
        <v>0</v>
      </c>
      <c r="F45" s="108"/>
      <c r="G45" s="108"/>
      <c r="H45" s="108"/>
    </row>
    <row r="46" spans="1:13" s="6" customFormat="1" x14ac:dyDescent="0.2">
      <c r="A46" s="158" t="s">
        <v>1276</v>
      </c>
      <c r="B46" s="146"/>
      <c r="C46" s="147"/>
      <c r="D46" s="147"/>
      <c r="E46" s="150">
        <f>SUM(B46:D46)</f>
        <v>0</v>
      </c>
      <c r="F46" s="108"/>
      <c r="G46" s="108"/>
      <c r="H46" s="108"/>
    </row>
    <row r="47" spans="1:13" x14ac:dyDescent="0.2">
      <c r="C47" s="2"/>
      <c r="D47" s="2"/>
      <c r="E47" s="2"/>
      <c r="F47" s="2"/>
      <c r="G47" s="2"/>
      <c r="H47" s="2"/>
    </row>
    <row r="48" spans="1:13" x14ac:dyDescent="0.2">
      <c r="A48" s="279" t="s">
        <v>96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38"/>
      <c r="M48" s="38"/>
    </row>
    <row r="49" spans="1:11" ht="28.9" customHeight="1" x14ac:dyDescent="0.2">
      <c r="A49" s="280" t="s">
        <v>34</v>
      </c>
      <c r="B49" s="4" t="s">
        <v>97</v>
      </c>
      <c r="C49" s="5" t="s">
        <v>98</v>
      </c>
      <c r="D49" s="5" t="s">
        <v>99</v>
      </c>
      <c r="E49" s="5" t="s">
        <v>100</v>
      </c>
      <c r="F49" s="5" t="s">
        <v>101</v>
      </c>
      <c r="G49" s="5" t="s">
        <v>2126</v>
      </c>
      <c r="H49" s="5"/>
      <c r="I49" s="291" t="s">
        <v>8</v>
      </c>
      <c r="J49" s="291"/>
      <c r="K49" s="291"/>
    </row>
    <row r="50" spans="1:11" x14ac:dyDescent="0.2">
      <c r="A50" s="280"/>
      <c r="B50" s="14" t="s">
        <v>103</v>
      </c>
      <c r="C50" s="15" t="s">
        <v>104</v>
      </c>
      <c r="D50" s="15" t="s">
        <v>42</v>
      </c>
      <c r="E50" s="15" t="s">
        <v>105</v>
      </c>
      <c r="F50" s="15" t="s">
        <v>106</v>
      </c>
      <c r="G50" s="15" t="s">
        <v>107</v>
      </c>
      <c r="H50" s="15"/>
      <c r="I50" s="291"/>
      <c r="J50" s="291"/>
      <c r="K50" s="291"/>
    </row>
    <row r="51" spans="1:11" x14ac:dyDescent="0.2">
      <c r="A51" s="276">
        <v>46195</v>
      </c>
      <c r="B51" s="61" t="s">
        <v>966</v>
      </c>
      <c r="C51" s="61" t="s">
        <v>2758</v>
      </c>
      <c r="D51" s="61" t="s">
        <v>2813</v>
      </c>
      <c r="E51" s="61" t="s">
        <v>2809</v>
      </c>
      <c r="F51" s="61" t="s">
        <v>2760</v>
      </c>
      <c r="G51" s="61" t="s">
        <v>2811</v>
      </c>
      <c r="H51" s="61"/>
      <c r="I51" s="278"/>
      <c r="J51" s="278"/>
      <c r="K51" s="278"/>
    </row>
    <row r="52" spans="1:11" ht="27.75" x14ac:dyDescent="0.2">
      <c r="A52" s="276"/>
      <c r="B52" s="4" t="s">
        <v>2764</v>
      </c>
      <c r="C52" s="4" t="s">
        <v>2761</v>
      </c>
      <c r="D52" s="4" t="s">
        <v>2814</v>
      </c>
      <c r="E52" s="4" t="s">
        <v>2810</v>
      </c>
      <c r="F52" s="4" t="s">
        <v>2759</v>
      </c>
      <c r="G52" s="4" t="s">
        <v>2812</v>
      </c>
      <c r="H52" s="4"/>
      <c r="I52" s="278"/>
      <c r="J52" s="278"/>
      <c r="K52" s="278"/>
    </row>
    <row r="53" spans="1:11" ht="45" customHeight="1" x14ac:dyDescent="0.2">
      <c r="A53" s="276"/>
      <c r="B53" s="9">
        <v>8260101592</v>
      </c>
      <c r="C53" s="121" t="s">
        <v>2757</v>
      </c>
      <c r="D53" s="9">
        <v>8260101581</v>
      </c>
      <c r="E53" s="9">
        <v>8260101577</v>
      </c>
      <c r="F53" s="9" t="s">
        <v>2755</v>
      </c>
      <c r="G53" s="9">
        <v>8260101586</v>
      </c>
      <c r="H53" s="9"/>
      <c r="I53" s="278"/>
      <c r="J53" s="278"/>
      <c r="K53" s="278"/>
    </row>
    <row r="54" spans="1:11" x14ac:dyDescent="0.2">
      <c r="A54" s="276">
        <v>46196</v>
      </c>
      <c r="B54" s="61" t="s">
        <v>2762</v>
      </c>
      <c r="C54" s="61" t="s">
        <v>2763</v>
      </c>
      <c r="D54" s="61" t="s">
        <v>2865</v>
      </c>
      <c r="E54" s="61" t="s">
        <v>2840</v>
      </c>
      <c r="F54" s="61" t="s">
        <v>978</v>
      </c>
      <c r="G54" s="61" t="s">
        <v>894</v>
      </c>
      <c r="H54" s="61"/>
      <c r="I54" s="278"/>
      <c r="J54" s="278"/>
      <c r="K54" s="278"/>
    </row>
    <row r="55" spans="1:11" ht="27.75" x14ac:dyDescent="0.2">
      <c r="A55" s="276"/>
      <c r="B55" s="4" t="s">
        <v>2764</v>
      </c>
      <c r="C55" s="4" t="s">
        <v>2761</v>
      </c>
      <c r="D55" s="4" t="s">
        <v>2866</v>
      </c>
      <c r="E55" s="4" t="s">
        <v>2818</v>
      </c>
      <c r="F55" s="4" t="s">
        <v>2759</v>
      </c>
      <c r="G55" s="4" t="s">
        <v>2841</v>
      </c>
      <c r="H55" s="4"/>
      <c r="I55" s="278"/>
      <c r="J55" s="278"/>
      <c r="K55" s="278"/>
    </row>
    <row r="56" spans="1:11" ht="45" customHeight="1" x14ac:dyDescent="0.2">
      <c r="A56" s="276"/>
      <c r="B56" s="9">
        <v>8260101651</v>
      </c>
      <c r="C56" s="121" t="s">
        <v>2756</v>
      </c>
      <c r="D56" s="9">
        <v>8260101645</v>
      </c>
      <c r="E56" s="9">
        <v>8260101640</v>
      </c>
      <c r="F56" s="9">
        <v>8260101659</v>
      </c>
      <c r="G56" s="9">
        <v>8260101643</v>
      </c>
      <c r="H56" s="9"/>
      <c r="I56" s="278"/>
      <c r="J56" s="278"/>
      <c r="K56" s="278"/>
    </row>
    <row r="57" spans="1:11" x14ac:dyDescent="0.2">
      <c r="A57" s="276">
        <v>46197</v>
      </c>
      <c r="B57" s="61"/>
      <c r="C57" s="61"/>
      <c r="D57" s="61" t="s">
        <v>2872</v>
      </c>
      <c r="E57" s="61" t="s">
        <v>2870</v>
      </c>
      <c r="F57" s="61"/>
      <c r="G57" s="61" t="s">
        <v>2868</v>
      </c>
      <c r="H57" s="61"/>
      <c r="I57" s="278"/>
      <c r="J57" s="278"/>
      <c r="K57" s="278"/>
    </row>
    <row r="58" spans="1:11" x14ac:dyDescent="0.2">
      <c r="A58" s="276"/>
      <c r="B58" s="4"/>
      <c r="C58" s="4"/>
      <c r="D58" s="4" t="s">
        <v>2843</v>
      </c>
      <c r="E58" s="4" t="s">
        <v>2871</v>
      </c>
      <c r="F58" s="4"/>
      <c r="G58" s="4" t="s">
        <v>2869</v>
      </c>
      <c r="H58" s="4"/>
      <c r="I58" s="278"/>
      <c r="J58" s="278"/>
      <c r="K58" s="278"/>
    </row>
    <row r="59" spans="1:11" ht="45" customHeight="1" x14ac:dyDescent="0.2">
      <c r="A59" s="276"/>
      <c r="B59" s="9"/>
      <c r="C59" s="121"/>
      <c r="D59" s="9">
        <v>8260101718</v>
      </c>
      <c r="E59" s="9">
        <v>8260101740</v>
      </c>
      <c r="F59" s="9"/>
      <c r="G59" s="9">
        <v>8260101730</v>
      </c>
      <c r="H59" s="9"/>
      <c r="I59" s="278"/>
      <c r="J59" s="278"/>
      <c r="K59" s="278"/>
    </row>
    <row r="60" spans="1:11" ht="15" customHeight="1" x14ac:dyDescent="0.2">
      <c r="A60" s="276">
        <v>46198</v>
      </c>
      <c r="B60" s="61"/>
      <c r="C60" s="61"/>
      <c r="D60" s="61" t="s">
        <v>2916</v>
      </c>
      <c r="E60" s="61" t="s">
        <v>2917</v>
      </c>
      <c r="F60" s="61"/>
      <c r="G60" s="61"/>
      <c r="H60" s="61"/>
      <c r="I60" s="278"/>
      <c r="J60" s="278"/>
      <c r="K60" s="278"/>
    </row>
    <row r="61" spans="1:11" ht="15" customHeight="1" x14ac:dyDescent="0.2">
      <c r="A61" s="276"/>
      <c r="B61" s="4"/>
      <c r="C61" s="4"/>
      <c r="D61" s="4" t="s">
        <v>2816</v>
      </c>
      <c r="E61" s="4" t="s">
        <v>2866</v>
      </c>
      <c r="F61" s="4"/>
      <c r="G61" s="4"/>
      <c r="H61" s="4"/>
      <c r="I61" s="278"/>
      <c r="J61" s="278"/>
      <c r="K61" s="278"/>
    </row>
    <row r="62" spans="1:11" ht="45" customHeight="1" x14ac:dyDescent="0.2">
      <c r="A62" s="276"/>
      <c r="B62" s="9"/>
      <c r="C62" s="121"/>
      <c r="D62" s="9">
        <v>8260101802</v>
      </c>
      <c r="E62" s="9">
        <v>8260101807</v>
      </c>
      <c r="F62" s="9"/>
      <c r="G62" s="9">
        <v>8260101859</v>
      </c>
      <c r="H62" s="9"/>
      <c r="I62" s="278"/>
      <c r="J62" s="278"/>
      <c r="K62" s="278"/>
    </row>
    <row r="63" spans="1:11" x14ac:dyDescent="0.2">
      <c r="A63" s="276">
        <v>46199</v>
      </c>
      <c r="B63" s="61"/>
      <c r="C63" s="61"/>
      <c r="D63" s="61"/>
      <c r="E63" s="61"/>
      <c r="F63" s="61"/>
      <c r="G63" s="61"/>
      <c r="H63" s="61"/>
      <c r="I63" s="319"/>
      <c r="J63" s="319"/>
      <c r="K63" s="319"/>
    </row>
    <row r="64" spans="1:11" x14ac:dyDescent="0.2">
      <c r="A64" s="276"/>
      <c r="B64" s="4"/>
      <c r="C64" s="4"/>
      <c r="D64" s="4"/>
      <c r="E64" s="4"/>
      <c r="F64" s="4"/>
      <c r="G64" s="4"/>
      <c r="H64" s="4"/>
      <c r="I64" s="319"/>
      <c r="J64" s="319"/>
      <c r="K64" s="319"/>
    </row>
    <row r="65" spans="1:16" s="6" customFormat="1" ht="45" customHeight="1" x14ac:dyDescent="0.2">
      <c r="A65" s="276"/>
      <c r="B65" s="9"/>
      <c r="C65" s="121"/>
      <c r="D65" s="121"/>
      <c r="E65" s="9">
        <v>8260101874</v>
      </c>
      <c r="F65" s="9"/>
      <c r="G65" s="9"/>
      <c r="H65" s="9"/>
      <c r="I65" s="319"/>
      <c r="J65" s="319"/>
      <c r="K65" s="319"/>
    </row>
    <row r="66" spans="1:16" s="6" customFormat="1" x14ac:dyDescent="0.2">
      <c r="A66" s="157" t="s">
        <v>1274</v>
      </c>
      <c r="B66" s="143">
        <f t="shared" ref="B66:G66" si="1">B67+B68</f>
        <v>0</v>
      </c>
      <c r="C66" s="143">
        <f t="shared" si="1"/>
        <v>0</v>
      </c>
      <c r="D66" s="143">
        <f t="shared" si="1"/>
        <v>0</v>
      </c>
      <c r="E66" s="143">
        <f t="shared" si="1"/>
        <v>0</v>
      </c>
      <c r="F66" s="143">
        <f t="shared" si="1"/>
        <v>0</v>
      </c>
      <c r="G66" s="143">
        <f t="shared" si="1"/>
        <v>0</v>
      </c>
      <c r="H66" s="143"/>
      <c r="I66" s="113">
        <f>SUM(B66:H66)</f>
        <v>0</v>
      </c>
      <c r="J66" s="145"/>
      <c r="K66" s="145"/>
    </row>
    <row r="67" spans="1:16" s="6" customFormat="1" x14ac:dyDescent="0.2">
      <c r="A67" s="157" t="s">
        <v>1275</v>
      </c>
      <c r="B67" s="143"/>
      <c r="C67" s="143"/>
      <c r="D67" s="143"/>
      <c r="E67" s="143"/>
      <c r="F67" s="143"/>
      <c r="G67" s="143"/>
      <c r="H67" s="143"/>
      <c r="I67" s="113">
        <f>SUM(B67:H67)</f>
        <v>0</v>
      </c>
      <c r="J67" s="145"/>
      <c r="K67" s="145"/>
    </row>
    <row r="68" spans="1:16" s="6" customFormat="1" x14ac:dyDescent="0.2">
      <c r="A68" s="158" t="s">
        <v>1276</v>
      </c>
      <c r="B68" s="146"/>
      <c r="C68" s="146"/>
      <c r="D68" s="146"/>
      <c r="E68" s="146"/>
      <c r="F68" s="146"/>
      <c r="G68" s="146"/>
      <c r="H68" s="146"/>
      <c r="I68" s="151">
        <f>SUM(B68:H68)</f>
        <v>0</v>
      </c>
      <c r="J68" s="145"/>
      <c r="K68" s="145"/>
    </row>
    <row r="69" spans="1:16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6" x14ac:dyDescent="0.2">
      <c r="A70" s="279" t="s">
        <v>143</v>
      </c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38"/>
      <c r="O70" s="38"/>
      <c r="P70" s="38"/>
    </row>
    <row r="71" spans="1:16" ht="43.15" customHeight="1" x14ac:dyDescent="0.2">
      <c r="A71" s="280" t="s">
        <v>34</v>
      </c>
      <c r="B71" s="5" t="s">
        <v>144</v>
      </c>
      <c r="C71" s="5" t="s">
        <v>145</v>
      </c>
      <c r="D71" s="5" t="s">
        <v>146</v>
      </c>
      <c r="E71" s="5" t="s">
        <v>662</v>
      </c>
      <c r="F71" s="5" t="s">
        <v>148</v>
      </c>
      <c r="G71" s="5" t="s">
        <v>149</v>
      </c>
      <c r="H71" s="5" t="s">
        <v>150</v>
      </c>
      <c r="I71" s="5" t="s">
        <v>151</v>
      </c>
      <c r="J71" s="5" t="s">
        <v>152</v>
      </c>
      <c r="K71" s="5" t="s">
        <v>663</v>
      </c>
      <c r="L71" s="5"/>
      <c r="M71" s="282" t="s">
        <v>8</v>
      </c>
    </row>
    <row r="72" spans="1:16" x14ac:dyDescent="0.2">
      <c r="A72" s="280"/>
      <c r="B72" s="15" t="s">
        <v>153</v>
      </c>
      <c r="C72" s="15" t="s">
        <v>153</v>
      </c>
      <c r="D72" s="15" t="s">
        <v>154</v>
      </c>
      <c r="E72" s="15" t="s">
        <v>155</v>
      </c>
      <c r="F72" s="15" t="s">
        <v>156</v>
      </c>
      <c r="G72" s="15" t="s">
        <v>156</v>
      </c>
      <c r="H72" s="15" t="s">
        <v>45</v>
      </c>
      <c r="I72" s="15" t="s">
        <v>157</v>
      </c>
      <c r="J72" s="15" t="s">
        <v>157</v>
      </c>
      <c r="K72" s="15" t="s">
        <v>106</v>
      </c>
      <c r="L72" s="15"/>
      <c r="M72" s="282"/>
    </row>
    <row r="73" spans="1:16" x14ac:dyDescent="0.2">
      <c r="A73" s="276">
        <v>46195</v>
      </c>
      <c r="B73" s="61" t="s">
        <v>2815</v>
      </c>
      <c r="C73" s="61" t="s">
        <v>2817</v>
      </c>
      <c r="D73" s="61" t="s">
        <v>2819</v>
      </c>
      <c r="E73" s="61" t="s">
        <v>2821</v>
      </c>
      <c r="F73" s="61" t="s">
        <v>2823</v>
      </c>
      <c r="G73" s="61" t="s">
        <v>2824</v>
      </c>
      <c r="H73" s="61" t="s">
        <v>2826</v>
      </c>
      <c r="I73" s="61"/>
      <c r="J73" s="53"/>
      <c r="K73" s="66" t="s">
        <v>2827</v>
      </c>
      <c r="L73" s="66"/>
      <c r="M73" s="323"/>
    </row>
    <row r="74" spans="1:16" x14ac:dyDescent="0.2">
      <c r="A74" s="276"/>
      <c r="B74" s="4" t="s">
        <v>2816</v>
      </c>
      <c r="C74" s="4" t="s">
        <v>2818</v>
      </c>
      <c r="D74" s="4" t="s">
        <v>2820</v>
      </c>
      <c r="E74" s="4" t="s">
        <v>2822</v>
      </c>
      <c r="F74" s="4" t="s">
        <v>2816</v>
      </c>
      <c r="G74" s="4" t="s">
        <v>2825</v>
      </c>
      <c r="H74" s="4" t="s">
        <v>2825</v>
      </c>
      <c r="I74" s="4"/>
      <c r="J74" s="235"/>
      <c r="K74" s="78" t="s">
        <v>2828</v>
      </c>
      <c r="L74" s="78"/>
      <c r="M74" s="324"/>
    </row>
    <row r="75" spans="1:16" ht="45" customHeight="1" x14ac:dyDescent="0.2">
      <c r="A75" s="276"/>
      <c r="B75" s="9">
        <v>8260101572</v>
      </c>
      <c r="C75" s="9" t="s">
        <v>2718</v>
      </c>
      <c r="D75" s="9">
        <v>8260101569</v>
      </c>
      <c r="E75" s="9">
        <v>8260101560</v>
      </c>
      <c r="F75" s="9">
        <v>8260101558</v>
      </c>
      <c r="G75" s="9">
        <v>8260101591</v>
      </c>
      <c r="H75" s="9">
        <v>8260101564</v>
      </c>
      <c r="I75" s="9"/>
      <c r="J75" s="7"/>
      <c r="K75" s="9">
        <v>8260101566</v>
      </c>
      <c r="L75" s="9"/>
      <c r="M75" s="325"/>
    </row>
    <row r="76" spans="1:16" x14ac:dyDescent="0.2">
      <c r="A76" s="276">
        <v>46196</v>
      </c>
      <c r="B76" s="61" t="s">
        <v>2842</v>
      </c>
      <c r="C76" s="252" t="s">
        <v>2844</v>
      </c>
      <c r="D76" s="61" t="s">
        <v>2846</v>
      </c>
      <c r="E76" s="61" t="s">
        <v>2847</v>
      </c>
      <c r="F76" s="61" t="s">
        <v>2848</v>
      </c>
      <c r="G76" s="61" t="s">
        <v>933</v>
      </c>
      <c r="H76" s="252" t="s">
        <v>2850</v>
      </c>
      <c r="I76" s="61"/>
      <c r="J76" s="53"/>
      <c r="K76" s="66" t="s">
        <v>2851</v>
      </c>
      <c r="L76" s="66"/>
      <c r="M76" s="323" t="s">
        <v>2867</v>
      </c>
    </row>
    <row r="77" spans="1:16" x14ac:dyDescent="0.2">
      <c r="A77" s="276"/>
      <c r="B77" s="4" t="s">
        <v>2843</v>
      </c>
      <c r="C77" s="4" t="s">
        <v>2845</v>
      </c>
      <c r="D77" s="4" t="s">
        <v>2820</v>
      </c>
      <c r="E77" s="4" t="s">
        <v>2820</v>
      </c>
      <c r="F77" s="4" t="s">
        <v>2843</v>
      </c>
      <c r="G77" s="4" t="s">
        <v>2849</v>
      </c>
      <c r="H77" s="4" t="s">
        <v>2849</v>
      </c>
      <c r="I77" s="4"/>
      <c r="J77" s="235"/>
      <c r="K77" s="78" t="s">
        <v>2852</v>
      </c>
      <c r="L77" s="78"/>
      <c r="M77" s="324"/>
    </row>
    <row r="78" spans="1:16" ht="45" customHeight="1" x14ac:dyDescent="0.2">
      <c r="A78" s="276"/>
      <c r="B78" s="9">
        <v>8260101648</v>
      </c>
      <c r="C78" s="9" t="s">
        <v>2735</v>
      </c>
      <c r="D78" s="9">
        <v>8260101644</v>
      </c>
      <c r="E78" s="9">
        <v>8260101658</v>
      </c>
      <c r="F78" s="9">
        <v>8260101647</v>
      </c>
      <c r="G78" s="9">
        <v>8260101660</v>
      </c>
      <c r="H78" s="9">
        <v>8260101656</v>
      </c>
      <c r="I78" s="9"/>
      <c r="J78" s="7"/>
      <c r="K78" s="9">
        <v>8260101638</v>
      </c>
      <c r="L78" s="9"/>
      <c r="M78" s="325"/>
    </row>
    <row r="79" spans="1:16" x14ac:dyDescent="0.2">
      <c r="A79" s="276">
        <v>46197</v>
      </c>
      <c r="B79" s="252" t="s">
        <v>2873</v>
      </c>
      <c r="C79" s="61" t="s">
        <v>2875</v>
      </c>
      <c r="D79" s="61" t="s">
        <v>2876</v>
      </c>
      <c r="E79" s="61" t="s">
        <v>2877</v>
      </c>
      <c r="F79" s="61" t="s">
        <v>2878</v>
      </c>
      <c r="G79" s="61" t="s">
        <v>2880</v>
      </c>
      <c r="H79" s="61" t="s">
        <v>2882</v>
      </c>
      <c r="I79" s="61"/>
      <c r="J79" s="53" t="s">
        <v>898</v>
      </c>
      <c r="K79" s="66" t="s">
        <v>983</v>
      </c>
      <c r="L79" s="66"/>
      <c r="M79" s="323" t="s">
        <v>2897</v>
      </c>
    </row>
    <row r="80" spans="1:16" ht="27.75" x14ac:dyDescent="0.2">
      <c r="A80" s="276"/>
      <c r="B80" s="4" t="s">
        <v>2874</v>
      </c>
      <c r="C80" s="4" t="s">
        <v>2816</v>
      </c>
      <c r="D80" s="4" t="s">
        <v>2832</v>
      </c>
      <c r="E80" s="4" t="s">
        <v>2371</v>
      </c>
      <c r="F80" s="4" t="s">
        <v>2879</v>
      </c>
      <c r="G80" s="4" t="s">
        <v>2881</v>
      </c>
      <c r="H80" s="4" t="s">
        <v>2830</v>
      </c>
      <c r="I80" s="4"/>
      <c r="J80" s="235" t="s">
        <v>2830</v>
      </c>
      <c r="K80" s="235" t="s">
        <v>2883</v>
      </c>
      <c r="L80" s="78"/>
      <c r="M80" s="324"/>
    </row>
    <row r="81" spans="1:13" ht="45" customHeight="1" x14ac:dyDescent="0.2">
      <c r="A81" s="276"/>
      <c r="B81" s="9">
        <v>8260101726</v>
      </c>
      <c r="C81" s="9" t="s">
        <v>2766</v>
      </c>
      <c r="D81" s="9">
        <v>8260101728</v>
      </c>
      <c r="E81" s="9">
        <v>8260101721</v>
      </c>
      <c r="F81" s="9">
        <v>8260101724</v>
      </c>
      <c r="G81" s="9">
        <v>8260101715</v>
      </c>
      <c r="H81" s="9">
        <v>8260101725</v>
      </c>
      <c r="I81" s="9"/>
      <c r="J81" s="7">
        <v>8260101705</v>
      </c>
      <c r="K81" s="9">
        <v>8260101727</v>
      </c>
      <c r="L81" s="9"/>
      <c r="M81" s="325"/>
    </row>
    <row r="82" spans="1:13" x14ac:dyDescent="0.2">
      <c r="A82" s="276">
        <v>46198</v>
      </c>
      <c r="B82" s="61" t="s">
        <v>2918</v>
      </c>
      <c r="C82" s="61" t="s">
        <v>2920</v>
      </c>
      <c r="D82" s="61" t="s">
        <v>2922</v>
      </c>
      <c r="E82" s="61" t="s">
        <v>2924</v>
      </c>
      <c r="F82" s="61" t="s">
        <v>2926</v>
      </c>
      <c r="G82" s="61" t="s">
        <v>2927</v>
      </c>
      <c r="H82" s="252" t="s">
        <v>2928</v>
      </c>
      <c r="I82" s="61"/>
      <c r="J82" s="53"/>
      <c r="K82" s="66" t="s">
        <v>2929</v>
      </c>
      <c r="L82" s="66"/>
      <c r="M82" s="323" t="s">
        <v>2940</v>
      </c>
    </row>
    <row r="83" spans="1:13" x14ac:dyDescent="0.2">
      <c r="A83" s="276"/>
      <c r="B83" s="4" t="s">
        <v>2919</v>
      </c>
      <c r="C83" s="4" t="s">
        <v>2921</v>
      </c>
      <c r="D83" s="4" t="s">
        <v>2923</v>
      </c>
      <c r="E83" s="4" t="s">
        <v>2925</v>
      </c>
      <c r="F83" s="4" t="s">
        <v>2825</v>
      </c>
      <c r="G83" s="4" t="s">
        <v>2820</v>
      </c>
      <c r="H83" s="4" t="s">
        <v>2820</v>
      </c>
      <c r="I83" s="4"/>
      <c r="J83" s="235"/>
      <c r="K83" s="78" t="s">
        <v>2818</v>
      </c>
      <c r="L83" s="78"/>
      <c r="M83" s="324"/>
    </row>
    <row r="84" spans="1:13" ht="45" customHeight="1" x14ac:dyDescent="0.2">
      <c r="A84" s="276"/>
      <c r="B84" s="9">
        <v>8260101808</v>
      </c>
      <c r="C84" s="9" t="s">
        <v>2807</v>
      </c>
      <c r="D84" s="9">
        <v>8260101792</v>
      </c>
      <c r="E84" s="9">
        <v>8260101798</v>
      </c>
      <c r="F84" s="9">
        <v>8260101815</v>
      </c>
      <c r="G84" s="9">
        <v>8260101788</v>
      </c>
      <c r="H84" s="9">
        <v>8260101799</v>
      </c>
      <c r="I84" s="9"/>
      <c r="J84" s="7"/>
      <c r="K84" s="9">
        <v>8260101793</v>
      </c>
      <c r="L84" s="9"/>
      <c r="M84" s="325"/>
    </row>
    <row r="85" spans="1:13" x14ac:dyDescent="0.2">
      <c r="A85" s="276">
        <v>46199</v>
      </c>
      <c r="B85" s="61"/>
      <c r="C85" s="61"/>
      <c r="D85" s="61"/>
      <c r="E85" s="61"/>
      <c r="F85" s="61"/>
      <c r="G85" s="61"/>
      <c r="H85" s="61"/>
      <c r="I85" s="61"/>
      <c r="J85" s="53"/>
      <c r="K85" s="66"/>
      <c r="L85" s="66"/>
      <c r="M85" s="323"/>
    </row>
    <row r="86" spans="1:13" x14ac:dyDescent="0.2">
      <c r="A86" s="276"/>
      <c r="B86" s="4"/>
      <c r="C86" s="4"/>
      <c r="D86" s="4"/>
      <c r="E86" s="4"/>
      <c r="F86" s="4"/>
      <c r="G86" s="4"/>
      <c r="H86" s="4"/>
      <c r="I86" s="4"/>
      <c r="J86" s="235"/>
      <c r="K86" s="78"/>
      <c r="L86" s="78"/>
      <c r="M86" s="324"/>
    </row>
    <row r="87" spans="1:13" ht="45" customHeight="1" x14ac:dyDescent="0.2">
      <c r="A87" s="276"/>
      <c r="B87" s="9">
        <v>8260101889</v>
      </c>
      <c r="C87" s="9" t="s">
        <v>2955</v>
      </c>
      <c r="D87" s="9">
        <v>8260101883</v>
      </c>
      <c r="E87" s="9">
        <v>8260101887</v>
      </c>
      <c r="F87" s="9">
        <v>8260101888</v>
      </c>
      <c r="G87" s="9">
        <v>8260101892</v>
      </c>
      <c r="H87" s="9">
        <v>8260101875</v>
      </c>
      <c r="I87" s="9"/>
      <c r="J87" s="7"/>
      <c r="K87" s="9">
        <v>8260101866</v>
      </c>
      <c r="L87" s="9"/>
      <c r="M87" s="325"/>
    </row>
    <row r="88" spans="1:13" x14ac:dyDescent="0.2">
      <c r="A88" s="157" t="s">
        <v>1274</v>
      </c>
      <c r="B88" s="143">
        <f t="shared" ref="B88:K88" si="2">B89+B90</f>
        <v>0</v>
      </c>
      <c r="C88" s="143">
        <f t="shared" si="2"/>
        <v>0</v>
      </c>
      <c r="D88" s="143">
        <f t="shared" si="2"/>
        <v>0</v>
      </c>
      <c r="E88" s="143">
        <f t="shared" si="2"/>
        <v>0</v>
      </c>
      <c r="F88" s="143">
        <f t="shared" si="2"/>
        <v>0</v>
      </c>
      <c r="G88" s="143">
        <f t="shared" si="2"/>
        <v>0</v>
      </c>
      <c r="H88" s="143">
        <f t="shared" si="2"/>
        <v>0</v>
      </c>
      <c r="I88" s="143">
        <f t="shared" si="2"/>
        <v>0</v>
      </c>
      <c r="J88" s="143">
        <f t="shared" si="2"/>
        <v>0</v>
      </c>
      <c r="K88" s="143">
        <f t="shared" si="2"/>
        <v>0</v>
      </c>
      <c r="L88" s="143"/>
      <c r="M88" s="149">
        <f>SUM(B88:L88)</f>
        <v>0</v>
      </c>
    </row>
    <row r="89" spans="1:13" x14ac:dyDescent="0.2">
      <c r="A89" s="157" t="s">
        <v>1275</v>
      </c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9">
        <f>SUM(B89:L89)</f>
        <v>0</v>
      </c>
    </row>
    <row r="90" spans="1:13" x14ac:dyDescent="0.2">
      <c r="A90" s="158" t="s">
        <v>1276</v>
      </c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50">
        <f>SUM(B90:L90)</f>
        <v>0</v>
      </c>
    </row>
    <row r="92" spans="1:13" ht="28.9" customHeight="1" x14ac:dyDescent="0.2">
      <c r="A92" s="280" t="s">
        <v>34</v>
      </c>
      <c r="B92" s="5" t="s">
        <v>196</v>
      </c>
      <c r="C92" s="5" t="s">
        <v>472</v>
      </c>
      <c r="D92" s="5" t="s">
        <v>198</v>
      </c>
      <c r="E92" s="5" t="s">
        <v>199</v>
      </c>
      <c r="F92" s="5" t="s">
        <v>200</v>
      </c>
      <c r="G92" s="5" t="s">
        <v>201</v>
      </c>
      <c r="H92" s="5" t="s">
        <v>202</v>
      </c>
      <c r="I92" s="5" t="s">
        <v>203</v>
      </c>
      <c r="J92" s="5" t="s">
        <v>204</v>
      </c>
      <c r="K92" s="5" t="s">
        <v>1149</v>
      </c>
      <c r="L92" s="5"/>
      <c r="M92" s="104" t="s">
        <v>8</v>
      </c>
    </row>
    <row r="93" spans="1:13" x14ac:dyDescent="0.2">
      <c r="A93" s="280"/>
      <c r="B93" s="15" t="s">
        <v>153</v>
      </c>
      <c r="C93" s="15" t="s">
        <v>205</v>
      </c>
      <c r="D93" s="15" t="s">
        <v>206</v>
      </c>
      <c r="E93" s="15" t="s">
        <v>207</v>
      </c>
      <c r="F93" s="15" t="s">
        <v>208</v>
      </c>
      <c r="G93" s="15" t="s">
        <v>207</v>
      </c>
      <c r="H93" s="15" t="s">
        <v>103</v>
      </c>
      <c r="I93" s="15" t="s">
        <v>208</v>
      </c>
      <c r="J93" s="15" t="s">
        <v>209</v>
      </c>
      <c r="K93" s="15" t="s">
        <v>1150</v>
      </c>
      <c r="L93" s="15"/>
      <c r="M93" s="104"/>
    </row>
    <row r="94" spans="1:13" x14ac:dyDescent="0.2">
      <c r="A94" s="276">
        <v>46195</v>
      </c>
      <c r="B94" s="61" t="s">
        <v>2829</v>
      </c>
      <c r="C94" s="61" t="s">
        <v>2939</v>
      </c>
      <c r="D94" s="61" t="s">
        <v>966</v>
      </c>
      <c r="E94" s="61" t="s">
        <v>2831</v>
      </c>
      <c r="F94" s="61" t="s">
        <v>2833</v>
      </c>
      <c r="G94" s="61" t="s">
        <v>2834</v>
      </c>
      <c r="H94" s="61" t="s">
        <v>2835</v>
      </c>
      <c r="I94" s="61" t="s">
        <v>2837</v>
      </c>
      <c r="J94" s="66"/>
      <c r="K94" s="66" t="s">
        <v>2839</v>
      </c>
      <c r="L94" s="66"/>
      <c r="M94" s="320"/>
    </row>
    <row r="95" spans="1:13" ht="27.75" x14ac:dyDescent="0.2">
      <c r="A95" s="276"/>
      <c r="B95" s="4" t="s">
        <v>2830</v>
      </c>
      <c r="C95" s="4" t="s">
        <v>2830</v>
      </c>
      <c r="D95" s="4" t="s">
        <v>2830</v>
      </c>
      <c r="E95" s="4" t="s">
        <v>2832</v>
      </c>
      <c r="F95" s="4" t="s">
        <v>2828</v>
      </c>
      <c r="G95" s="4" t="s">
        <v>2828</v>
      </c>
      <c r="H95" s="4" t="s">
        <v>2836</v>
      </c>
      <c r="I95" s="4" t="s">
        <v>2838</v>
      </c>
      <c r="J95" s="78"/>
      <c r="K95" s="78" t="s">
        <v>2818</v>
      </c>
      <c r="L95" s="78"/>
      <c r="M95" s="321"/>
    </row>
    <row r="96" spans="1:13" ht="45" customHeight="1" x14ac:dyDescent="0.2">
      <c r="A96" s="276"/>
      <c r="B96" s="9">
        <v>8260101562</v>
      </c>
      <c r="C96" s="9">
        <v>8260101571</v>
      </c>
      <c r="D96" s="9">
        <v>8260101570</v>
      </c>
      <c r="E96" s="9">
        <v>8260101574</v>
      </c>
      <c r="F96" s="9">
        <v>8260101575</v>
      </c>
      <c r="G96" s="9">
        <v>8260101567</v>
      </c>
      <c r="H96" s="9">
        <v>8260101589</v>
      </c>
      <c r="I96" s="9" t="s">
        <v>2719</v>
      </c>
      <c r="J96" s="9"/>
      <c r="K96" s="9">
        <v>8260101573</v>
      </c>
      <c r="L96" s="9"/>
      <c r="M96" s="322"/>
    </row>
    <row r="97" spans="1:13" x14ac:dyDescent="0.2">
      <c r="A97" s="276">
        <v>46196</v>
      </c>
      <c r="B97" s="252" t="s">
        <v>2853</v>
      </c>
      <c r="C97" s="252" t="s">
        <v>2854</v>
      </c>
      <c r="D97" s="252" t="s">
        <v>2855</v>
      </c>
      <c r="E97" s="61" t="s">
        <v>2856</v>
      </c>
      <c r="F97" s="61" t="s">
        <v>2857</v>
      </c>
      <c r="G97" s="61" t="s">
        <v>2859</v>
      </c>
      <c r="H97" s="252" t="s">
        <v>2860</v>
      </c>
      <c r="I97" s="61" t="s">
        <v>2861</v>
      </c>
      <c r="J97" s="53"/>
      <c r="K97" s="253" t="s">
        <v>2863</v>
      </c>
      <c r="L97" s="66"/>
      <c r="M97" s="323" t="s">
        <v>2895</v>
      </c>
    </row>
    <row r="98" spans="1:13" x14ac:dyDescent="0.2">
      <c r="A98" s="276"/>
      <c r="B98" s="4" t="s">
        <v>2830</v>
      </c>
      <c r="C98" s="4" t="s">
        <v>2830</v>
      </c>
      <c r="D98" s="4" t="s">
        <v>2830</v>
      </c>
      <c r="E98" s="4" t="s">
        <v>2816</v>
      </c>
      <c r="F98" s="4" t="s">
        <v>2858</v>
      </c>
      <c r="G98" s="4" t="s">
        <v>2852</v>
      </c>
      <c r="H98" s="4" t="s">
        <v>2858</v>
      </c>
      <c r="I98" s="4" t="s">
        <v>2862</v>
      </c>
      <c r="J98" s="235"/>
      <c r="K98" s="78" t="s">
        <v>2864</v>
      </c>
      <c r="L98" s="78"/>
      <c r="M98" s="324"/>
    </row>
    <row r="99" spans="1:13" ht="45" customHeight="1" x14ac:dyDescent="0.2">
      <c r="A99" s="276"/>
      <c r="B99" s="9">
        <v>8260101664</v>
      </c>
      <c r="C99" s="9">
        <v>8260101641</v>
      </c>
      <c r="D99" s="9">
        <v>8260101665</v>
      </c>
      <c r="E99" s="9">
        <v>8260101655</v>
      </c>
      <c r="F99" s="9">
        <v>8260101666</v>
      </c>
      <c r="G99" s="9">
        <v>8260101657</v>
      </c>
      <c r="H99" s="9">
        <v>8260101654</v>
      </c>
      <c r="I99" s="9" t="s">
        <v>2736</v>
      </c>
      <c r="J99" s="7"/>
      <c r="K99" s="9">
        <v>8260101663</v>
      </c>
      <c r="L99" s="9"/>
      <c r="M99" s="325"/>
    </row>
    <row r="100" spans="1:13" x14ac:dyDescent="0.2">
      <c r="A100" s="276">
        <v>46197</v>
      </c>
      <c r="B100" s="61" t="s">
        <v>2884</v>
      </c>
      <c r="C100" s="61"/>
      <c r="D100" s="61" t="s">
        <v>2886</v>
      </c>
      <c r="E100" s="61" t="s">
        <v>2887</v>
      </c>
      <c r="F100" s="252" t="s">
        <v>2888</v>
      </c>
      <c r="G100" s="61" t="s">
        <v>2890</v>
      </c>
      <c r="H100" s="252" t="s">
        <v>2892</v>
      </c>
      <c r="I100" s="61" t="s">
        <v>2870</v>
      </c>
      <c r="J100" s="66"/>
      <c r="K100" s="66" t="s">
        <v>2893</v>
      </c>
      <c r="L100" s="66"/>
      <c r="M100" s="320" t="s">
        <v>2896</v>
      </c>
    </row>
    <row r="101" spans="1:13" x14ac:dyDescent="0.2">
      <c r="A101" s="276"/>
      <c r="B101" s="4" t="s">
        <v>2885</v>
      </c>
      <c r="C101" s="4"/>
      <c r="D101" s="4" t="s">
        <v>2849</v>
      </c>
      <c r="E101" s="4" t="s">
        <v>2849</v>
      </c>
      <c r="F101" s="4" t="s">
        <v>2889</v>
      </c>
      <c r="G101" s="4" t="s">
        <v>2891</v>
      </c>
      <c r="H101" s="4" t="s">
        <v>2889</v>
      </c>
      <c r="I101" s="4" t="s">
        <v>2822</v>
      </c>
      <c r="J101" s="78"/>
      <c r="K101" s="78" t="s">
        <v>2894</v>
      </c>
      <c r="L101" s="78"/>
      <c r="M101" s="321"/>
    </row>
    <row r="102" spans="1:13" ht="45" customHeight="1" x14ac:dyDescent="0.2">
      <c r="A102" s="276"/>
      <c r="B102" s="9">
        <v>8260101723</v>
      </c>
      <c r="C102" s="9"/>
      <c r="D102" s="9">
        <v>8260101717</v>
      </c>
      <c r="E102" s="9">
        <v>8260101706</v>
      </c>
      <c r="F102" s="9">
        <v>8260101720</v>
      </c>
      <c r="G102" s="9">
        <v>8260101722</v>
      </c>
      <c r="H102" s="9">
        <v>8260101711</v>
      </c>
      <c r="I102" s="9" t="s">
        <v>2767</v>
      </c>
      <c r="J102" s="9"/>
      <c r="K102" s="9">
        <v>8260101710</v>
      </c>
      <c r="L102" s="9"/>
      <c r="M102" s="322"/>
    </row>
    <row r="103" spans="1:13" x14ac:dyDescent="0.2">
      <c r="A103" s="276">
        <v>46198</v>
      </c>
      <c r="B103" s="61" t="s">
        <v>2930</v>
      </c>
      <c r="C103" s="61" t="s">
        <v>2931</v>
      </c>
      <c r="D103" s="61" t="s">
        <v>2932</v>
      </c>
      <c r="E103" s="61" t="s">
        <v>2933</v>
      </c>
      <c r="F103" s="61" t="s">
        <v>2934</v>
      </c>
      <c r="G103" s="61" t="s">
        <v>2935</v>
      </c>
      <c r="H103" s="61" t="s">
        <v>2936</v>
      </c>
      <c r="I103" s="61" t="s">
        <v>2937</v>
      </c>
      <c r="J103" s="53"/>
      <c r="K103" s="66" t="s">
        <v>2938</v>
      </c>
      <c r="L103" s="66"/>
      <c r="M103" s="326"/>
    </row>
    <row r="104" spans="1:13" x14ac:dyDescent="0.2">
      <c r="A104" s="276"/>
      <c r="B104" s="4" t="s">
        <v>2830</v>
      </c>
      <c r="C104" s="4" t="s">
        <v>2830</v>
      </c>
      <c r="D104" s="4" t="s">
        <v>2830</v>
      </c>
      <c r="E104" s="4" t="s">
        <v>2830</v>
      </c>
      <c r="F104" s="4" t="s">
        <v>2818</v>
      </c>
      <c r="G104" s="4" t="s">
        <v>2818</v>
      </c>
      <c r="H104" s="4" t="s">
        <v>2858</v>
      </c>
      <c r="I104" s="4" t="s">
        <v>2862</v>
      </c>
      <c r="J104" s="235"/>
      <c r="K104" s="78" t="s">
        <v>2832</v>
      </c>
      <c r="L104" s="78"/>
      <c r="M104" s="327"/>
    </row>
    <row r="105" spans="1:13" ht="45" customHeight="1" x14ac:dyDescent="0.2">
      <c r="A105" s="276"/>
      <c r="B105" s="9">
        <v>8260101794</v>
      </c>
      <c r="C105" s="9">
        <v>8260101791</v>
      </c>
      <c r="D105" s="9">
        <v>8260101798</v>
      </c>
      <c r="E105" s="9">
        <v>8260101805</v>
      </c>
      <c r="F105" s="9">
        <v>8260101812</v>
      </c>
      <c r="G105" s="9">
        <v>8260101806</v>
      </c>
      <c r="H105" s="9">
        <v>8260101813</v>
      </c>
      <c r="I105" s="9" t="s">
        <v>2808</v>
      </c>
      <c r="J105" s="7"/>
      <c r="K105" s="9">
        <v>8260101820</v>
      </c>
      <c r="L105" s="9"/>
      <c r="M105" s="328"/>
    </row>
    <row r="106" spans="1:13" x14ac:dyDescent="0.2">
      <c r="A106" s="276">
        <v>46199</v>
      </c>
      <c r="B106" s="61"/>
      <c r="C106" s="61"/>
      <c r="D106" s="61"/>
      <c r="E106" s="61"/>
      <c r="F106" s="61"/>
      <c r="G106" s="61"/>
      <c r="H106" s="61"/>
      <c r="I106" s="61"/>
      <c r="J106" s="53"/>
      <c r="K106" s="66"/>
      <c r="L106" s="66"/>
      <c r="M106" s="320"/>
    </row>
    <row r="107" spans="1:13" x14ac:dyDescent="0.2">
      <c r="A107" s="276"/>
      <c r="B107" s="4"/>
      <c r="C107" s="4"/>
      <c r="D107" s="4"/>
      <c r="E107" s="4"/>
      <c r="F107" s="4"/>
      <c r="G107" s="4"/>
      <c r="H107" s="4"/>
      <c r="I107" s="4"/>
      <c r="J107" s="235"/>
      <c r="K107" s="78"/>
      <c r="L107" s="78"/>
      <c r="M107" s="321"/>
    </row>
    <row r="108" spans="1:13" ht="45" customHeight="1" x14ac:dyDescent="0.2">
      <c r="A108" s="276"/>
      <c r="B108" s="9">
        <v>8260101864</v>
      </c>
      <c r="C108" s="9">
        <v>8260101867</v>
      </c>
      <c r="D108" s="9">
        <v>8260101878</v>
      </c>
      <c r="E108" s="9">
        <v>8260101879</v>
      </c>
      <c r="F108" s="9">
        <v>8260101885</v>
      </c>
      <c r="G108" s="9">
        <v>8260101890</v>
      </c>
      <c r="H108" s="9">
        <v>8260101881</v>
      </c>
      <c r="I108" s="9" t="s">
        <v>2956</v>
      </c>
      <c r="J108" s="7"/>
      <c r="K108" s="9">
        <v>8260101865</v>
      </c>
      <c r="L108" s="9"/>
      <c r="M108" s="322"/>
    </row>
    <row r="109" spans="1:13" x14ac:dyDescent="0.2">
      <c r="A109" s="157" t="s">
        <v>1274</v>
      </c>
      <c r="B109" s="143">
        <f t="shared" ref="B109:K109" si="3">B110+B111</f>
        <v>0</v>
      </c>
      <c r="C109" s="143">
        <f t="shared" si="3"/>
        <v>0</v>
      </c>
      <c r="D109" s="143">
        <f t="shared" si="3"/>
        <v>0</v>
      </c>
      <c r="E109" s="143">
        <f t="shared" si="3"/>
        <v>0</v>
      </c>
      <c r="F109" s="143">
        <f t="shared" si="3"/>
        <v>0</v>
      </c>
      <c r="G109" s="143">
        <f t="shared" si="3"/>
        <v>0</v>
      </c>
      <c r="H109" s="143">
        <f t="shared" si="3"/>
        <v>0</v>
      </c>
      <c r="I109" s="143">
        <f t="shared" si="3"/>
        <v>0</v>
      </c>
      <c r="J109" s="143">
        <f t="shared" si="3"/>
        <v>0</v>
      </c>
      <c r="K109" s="143">
        <f t="shared" si="3"/>
        <v>0</v>
      </c>
      <c r="L109" s="143"/>
      <c r="M109" s="113">
        <f>SUM(B109:L109)</f>
        <v>0</v>
      </c>
    </row>
    <row r="110" spans="1:13" x14ac:dyDescent="0.2">
      <c r="A110" s="157" t="s">
        <v>1275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13">
        <f>SUM(B110:L110)</f>
        <v>0</v>
      </c>
    </row>
    <row r="111" spans="1:13" x14ac:dyDescent="0.2">
      <c r="A111" s="158" t="s">
        <v>1276</v>
      </c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51">
        <f>SUM(B111:L111)</f>
        <v>0</v>
      </c>
    </row>
    <row r="113" spans="1:15" x14ac:dyDescent="0.2">
      <c r="A113" s="279" t="s">
        <v>252</v>
      </c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38"/>
      <c r="O113" s="38"/>
    </row>
    <row r="114" spans="1:15" ht="27.75" x14ac:dyDescent="0.2">
      <c r="A114" s="329" t="s">
        <v>34</v>
      </c>
      <c r="B114" s="82" t="s">
        <v>253</v>
      </c>
      <c r="C114" s="82" t="s">
        <v>254</v>
      </c>
      <c r="D114" s="82" t="s">
        <v>255</v>
      </c>
      <c r="E114" s="82" t="s">
        <v>256</v>
      </c>
      <c r="F114" s="82" t="s">
        <v>257</v>
      </c>
      <c r="G114" s="82" t="s">
        <v>258</v>
      </c>
      <c r="H114" s="82" t="s">
        <v>259</v>
      </c>
      <c r="I114" s="82" t="s">
        <v>260</v>
      </c>
      <c r="J114" s="82"/>
      <c r="K114" s="330" t="s">
        <v>8</v>
      </c>
      <c r="L114" s="330"/>
      <c r="M114" s="330"/>
    </row>
    <row r="115" spans="1:15" x14ac:dyDescent="0.2">
      <c r="A115" s="280"/>
      <c r="B115" s="15" t="s">
        <v>154</v>
      </c>
      <c r="C115" s="15" t="s">
        <v>261</v>
      </c>
      <c r="D115" s="15" t="s">
        <v>262</v>
      </c>
      <c r="E115" s="15" t="s">
        <v>42</v>
      </c>
      <c r="F115" s="15" t="s">
        <v>263</v>
      </c>
      <c r="G115" s="15" t="s">
        <v>264</v>
      </c>
      <c r="H115" s="15" t="s">
        <v>265</v>
      </c>
      <c r="I115" s="15" t="s">
        <v>263</v>
      </c>
      <c r="J115" s="15"/>
      <c r="K115" s="282"/>
      <c r="L115" s="282"/>
      <c r="M115" s="282"/>
    </row>
    <row r="116" spans="1:15" x14ac:dyDescent="0.2">
      <c r="A116" s="276"/>
      <c r="B116" s="61" t="s">
        <v>2785</v>
      </c>
      <c r="C116" s="61" t="s">
        <v>2786</v>
      </c>
      <c r="D116" s="61" t="s">
        <v>886</v>
      </c>
      <c r="E116" s="61" t="s">
        <v>886</v>
      </c>
      <c r="F116" s="61" t="s">
        <v>2788</v>
      </c>
      <c r="G116" s="61" t="s">
        <v>2789</v>
      </c>
      <c r="H116" s="61" t="s">
        <v>2787</v>
      </c>
      <c r="I116" s="61"/>
      <c r="J116" s="61"/>
      <c r="K116" s="319"/>
      <c r="L116" s="319"/>
      <c r="M116" s="319"/>
    </row>
    <row r="117" spans="1:15" x14ac:dyDescent="0.2">
      <c r="A117" s="276"/>
      <c r="B117" s="4" t="s">
        <v>2799</v>
      </c>
      <c r="C117" s="4" t="s">
        <v>2800</v>
      </c>
      <c r="D117" s="4" t="s">
        <v>2801</v>
      </c>
      <c r="E117" s="4" t="s">
        <v>2801</v>
      </c>
      <c r="F117" s="4" t="s">
        <v>2801</v>
      </c>
      <c r="G117" s="4" t="s">
        <v>2802</v>
      </c>
      <c r="H117" s="4" t="s">
        <v>2803</v>
      </c>
      <c r="I117" s="4"/>
      <c r="J117" s="4"/>
      <c r="K117" s="319"/>
      <c r="L117" s="319"/>
      <c r="M117" s="319"/>
    </row>
    <row r="118" spans="1:15" ht="45" customHeight="1" x14ac:dyDescent="0.2">
      <c r="A118" s="276"/>
      <c r="B118" s="9" t="s">
        <v>2790</v>
      </c>
      <c r="C118" s="9">
        <v>8260101588</v>
      </c>
      <c r="D118" s="9">
        <v>8260101585</v>
      </c>
      <c r="E118" s="9">
        <v>8260101561</v>
      </c>
      <c r="F118" s="9">
        <v>8260101568</v>
      </c>
      <c r="G118" s="9">
        <v>8260101584</v>
      </c>
      <c r="H118" s="9">
        <v>8260101565</v>
      </c>
      <c r="I118" s="9"/>
      <c r="J118" s="9"/>
      <c r="K118" s="319"/>
      <c r="L118" s="319"/>
      <c r="M118" s="319"/>
    </row>
    <row r="119" spans="1:15" x14ac:dyDescent="0.2">
      <c r="A119" s="276"/>
      <c r="B119" s="252" t="s">
        <v>2795</v>
      </c>
      <c r="C119" s="252" t="s">
        <v>2793</v>
      </c>
      <c r="D119" s="61" t="s">
        <v>2791</v>
      </c>
      <c r="E119" s="61" t="s">
        <v>2791</v>
      </c>
      <c r="F119" s="61" t="s">
        <v>2794</v>
      </c>
      <c r="G119" s="61" t="s">
        <v>2792</v>
      </c>
      <c r="H119" s="61" t="s">
        <v>2797</v>
      </c>
      <c r="I119" s="61"/>
      <c r="J119" s="61"/>
      <c r="K119" s="319" t="s">
        <v>2798</v>
      </c>
      <c r="L119" s="319"/>
      <c r="M119" s="319"/>
    </row>
    <row r="120" spans="1:15" x14ac:dyDescent="0.2">
      <c r="A120" s="276"/>
      <c r="B120" s="4" t="s">
        <v>2801</v>
      </c>
      <c r="C120" s="4" t="s">
        <v>2800</v>
      </c>
      <c r="D120" s="4" t="s">
        <v>2804</v>
      </c>
      <c r="E120" s="4" t="s">
        <v>2804</v>
      </c>
      <c r="F120" s="4" t="s">
        <v>2803</v>
      </c>
      <c r="G120" s="4" t="s">
        <v>2803</v>
      </c>
      <c r="H120" s="4" t="s">
        <v>2804</v>
      </c>
      <c r="I120" s="4"/>
      <c r="J120" s="4"/>
      <c r="K120" s="319"/>
      <c r="L120" s="319"/>
      <c r="M120" s="319"/>
    </row>
    <row r="121" spans="1:15" ht="45" customHeight="1" x14ac:dyDescent="0.2">
      <c r="A121" s="276"/>
      <c r="B121" s="9" t="s">
        <v>2796</v>
      </c>
      <c r="C121" s="9">
        <v>8260101667</v>
      </c>
      <c r="D121" s="9">
        <v>8260101653</v>
      </c>
      <c r="E121" s="9">
        <v>8260101634</v>
      </c>
      <c r="F121" s="9">
        <v>8260101662</v>
      </c>
      <c r="G121" s="9">
        <v>8260101635</v>
      </c>
      <c r="H121" s="9">
        <v>8260101642</v>
      </c>
      <c r="I121" s="9"/>
      <c r="J121" s="9"/>
      <c r="K121" s="319"/>
      <c r="L121" s="319"/>
      <c r="M121" s="319"/>
    </row>
    <row r="122" spans="1:15" x14ac:dyDescent="0.2">
      <c r="A122" s="276"/>
      <c r="B122" s="61" t="s">
        <v>2942</v>
      </c>
      <c r="C122" s="61" t="s">
        <v>2945</v>
      </c>
      <c r="D122" s="61" t="s">
        <v>2943</v>
      </c>
      <c r="E122" s="61" t="s">
        <v>2943</v>
      </c>
      <c r="F122" s="61" t="s">
        <v>2941</v>
      </c>
      <c r="G122" s="61" t="s">
        <v>2946</v>
      </c>
      <c r="H122" s="61" t="s">
        <v>2944</v>
      </c>
      <c r="I122" s="61"/>
      <c r="J122" s="61"/>
      <c r="K122" s="319"/>
      <c r="L122" s="319"/>
      <c r="M122" s="319"/>
    </row>
    <row r="123" spans="1:15" x14ac:dyDescent="0.2">
      <c r="A123" s="276"/>
      <c r="B123" s="4" t="s">
        <v>2804</v>
      </c>
      <c r="C123" s="4" t="s">
        <v>2805</v>
      </c>
      <c r="D123" s="4" t="s">
        <v>2803</v>
      </c>
      <c r="E123" s="4" t="s">
        <v>2803</v>
      </c>
      <c r="F123" s="4" t="s">
        <v>2803</v>
      </c>
      <c r="G123" s="4" t="s">
        <v>2803</v>
      </c>
      <c r="H123" s="4" t="s">
        <v>2799</v>
      </c>
      <c r="I123" s="4"/>
      <c r="J123" s="4"/>
      <c r="K123" s="319"/>
      <c r="L123" s="319"/>
      <c r="M123" s="319"/>
    </row>
    <row r="124" spans="1:15" ht="45" customHeight="1" x14ac:dyDescent="0.2">
      <c r="A124" s="276"/>
      <c r="B124" s="9" t="s">
        <v>2806</v>
      </c>
      <c r="C124" s="9">
        <v>8260101738</v>
      </c>
      <c r="D124" s="9">
        <v>8260101739</v>
      </c>
      <c r="E124" s="9">
        <v>8260101709</v>
      </c>
      <c r="F124" s="9">
        <v>8260101707</v>
      </c>
      <c r="G124" s="9">
        <v>8260101707</v>
      </c>
      <c r="H124" s="9">
        <v>8260101708</v>
      </c>
      <c r="I124" s="9"/>
      <c r="J124" s="9"/>
      <c r="K124" s="319"/>
      <c r="L124" s="319"/>
      <c r="M124" s="319"/>
    </row>
    <row r="125" spans="1:15" x14ac:dyDescent="0.2">
      <c r="A125" s="276"/>
      <c r="B125" s="61" t="s">
        <v>2947</v>
      </c>
      <c r="C125" s="61" t="s">
        <v>2951</v>
      </c>
      <c r="D125" s="61" t="s">
        <v>2948</v>
      </c>
      <c r="E125" s="61" t="s">
        <v>2948</v>
      </c>
      <c r="F125" s="61" t="s">
        <v>2953</v>
      </c>
      <c r="G125" s="61" t="s">
        <v>2950</v>
      </c>
      <c r="H125" s="61" t="s">
        <v>2949</v>
      </c>
      <c r="I125" s="61"/>
      <c r="J125" s="61"/>
      <c r="K125" s="331"/>
      <c r="L125" s="331"/>
      <c r="M125" s="331"/>
    </row>
    <row r="126" spans="1:15" x14ac:dyDescent="0.2">
      <c r="A126" s="276"/>
      <c r="B126" s="4" t="s">
        <v>2801</v>
      </c>
      <c r="C126" s="4" t="s">
        <v>2804</v>
      </c>
      <c r="D126" s="4" t="s">
        <v>2799</v>
      </c>
      <c r="E126" s="4" t="s">
        <v>2799</v>
      </c>
      <c r="F126" s="4" t="s">
        <v>2799</v>
      </c>
      <c r="G126" s="4" t="s">
        <v>2799</v>
      </c>
      <c r="H126" s="4" t="s">
        <v>2804</v>
      </c>
      <c r="I126" s="4"/>
      <c r="J126" s="4"/>
      <c r="K126" s="331"/>
      <c r="L126" s="331"/>
      <c r="M126" s="331"/>
    </row>
    <row r="127" spans="1:15" ht="45" customHeight="1" x14ac:dyDescent="0.2">
      <c r="A127" s="276"/>
      <c r="B127" s="9" t="s">
        <v>2952</v>
      </c>
      <c r="C127" s="9">
        <v>8260101818</v>
      </c>
      <c r="D127" s="9">
        <v>8260101796</v>
      </c>
      <c r="E127" s="9">
        <v>8260101795</v>
      </c>
      <c r="F127" s="9">
        <v>8260101804</v>
      </c>
      <c r="G127" s="9">
        <v>8260101817</v>
      </c>
      <c r="H127" s="9">
        <v>8260101803</v>
      </c>
      <c r="I127" s="9"/>
      <c r="J127" s="9"/>
      <c r="K127" s="331"/>
      <c r="L127" s="331"/>
      <c r="M127" s="331"/>
    </row>
    <row r="128" spans="1:15" x14ac:dyDescent="0.2">
      <c r="A128" s="276"/>
      <c r="B128" s="61"/>
      <c r="C128" s="61"/>
      <c r="D128" s="61"/>
      <c r="E128" s="61"/>
      <c r="F128" s="61"/>
      <c r="G128" s="61"/>
      <c r="H128" s="61"/>
      <c r="I128" s="61"/>
      <c r="J128" s="61"/>
      <c r="K128" s="278"/>
      <c r="L128" s="278"/>
      <c r="M128" s="278"/>
    </row>
    <row r="129" spans="1:13" x14ac:dyDescent="0.2">
      <c r="A129" s="276"/>
      <c r="B129" s="4"/>
      <c r="C129" s="4"/>
      <c r="D129" s="4"/>
      <c r="E129" s="4"/>
      <c r="F129" s="4"/>
      <c r="G129" s="4"/>
      <c r="H129" s="4"/>
      <c r="I129" s="4"/>
      <c r="J129" s="4"/>
      <c r="K129" s="278"/>
      <c r="L129" s="278"/>
      <c r="M129" s="278"/>
    </row>
    <row r="130" spans="1:13" ht="45" customHeight="1" x14ac:dyDescent="0.2">
      <c r="A130" s="276"/>
      <c r="B130" s="9"/>
      <c r="C130" s="9"/>
      <c r="D130" s="9"/>
      <c r="E130" s="9"/>
      <c r="F130" s="9"/>
      <c r="G130" s="9"/>
      <c r="H130" s="9"/>
      <c r="I130" s="9"/>
      <c r="J130" s="9"/>
      <c r="K130" s="278"/>
      <c r="L130" s="278"/>
      <c r="M130" s="278"/>
    </row>
    <row r="131" spans="1:13" x14ac:dyDescent="0.2">
      <c r="A131" s="157" t="s">
        <v>1274</v>
      </c>
      <c r="B131" s="143">
        <f t="shared" ref="B131:I131" si="4">B132+B133</f>
        <v>0</v>
      </c>
      <c r="C131" s="143">
        <f t="shared" si="4"/>
        <v>0</v>
      </c>
      <c r="D131" s="143">
        <f t="shared" si="4"/>
        <v>0</v>
      </c>
      <c r="E131" s="143">
        <f t="shared" si="4"/>
        <v>0</v>
      </c>
      <c r="F131" s="143">
        <f t="shared" si="4"/>
        <v>0</v>
      </c>
      <c r="G131" s="143">
        <f t="shared" si="4"/>
        <v>0</v>
      </c>
      <c r="H131" s="143">
        <f t="shared" si="4"/>
        <v>0</v>
      </c>
      <c r="I131" s="143">
        <f t="shared" si="4"/>
        <v>0</v>
      </c>
      <c r="J131" s="143"/>
      <c r="K131" s="92">
        <f>SUM(B131:J131)</f>
        <v>0</v>
      </c>
    </row>
    <row r="132" spans="1:13" x14ac:dyDescent="0.2">
      <c r="A132" s="157" t="s">
        <v>1275</v>
      </c>
      <c r="B132" s="143"/>
      <c r="C132" s="143"/>
      <c r="D132" s="143"/>
      <c r="E132" s="143"/>
      <c r="F132" s="143"/>
      <c r="G132" s="143"/>
      <c r="H132" s="143"/>
      <c r="I132" s="143"/>
      <c r="J132" s="143"/>
      <c r="K132" s="92">
        <f>SUM(B132:J132)</f>
        <v>0</v>
      </c>
    </row>
    <row r="133" spans="1:13" x14ac:dyDescent="0.2">
      <c r="A133" s="158" t="s">
        <v>1276</v>
      </c>
      <c r="B133" s="146"/>
      <c r="C133" s="146"/>
      <c r="D133" s="146"/>
      <c r="E133" s="146"/>
      <c r="F133" s="146"/>
      <c r="G133" s="146"/>
      <c r="H133" s="146"/>
      <c r="I133" s="146"/>
      <c r="J133" s="146"/>
      <c r="K133" s="152">
        <f>SUM(B133:J133)</f>
        <v>0</v>
      </c>
    </row>
  </sheetData>
  <mergeCells count="80">
    <mergeCell ref="A128:A130"/>
    <mergeCell ref="K128:M130"/>
    <mergeCell ref="A119:A121"/>
    <mergeCell ref="K119:M121"/>
    <mergeCell ref="A122:A124"/>
    <mergeCell ref="K122:M124"/>
    <mergeCell ref="A125:A127"/>
    <mergeCell ref="K125:M127"/>
    <mergeCell ref="A116:A118"/>
    <mergeCell ref="K116:M118"/>
    <mergeCell ref="A97:A99"/>
    <mergeCell ref="M97:M99"/>
    <mergeCell ref="A100:A102"/>
    <mergeCell ref="M100:M102"/>
    <mergeCell ref="A103:A105"/>
    <mergeCell ref="M103:M105"/>
    <mergeCell ref="A106:A108"/>
    <mergeCell ref="M106:M108"/>
    <mergeCell ref="A113:M113"/>
    <mergeCell ref="A114:A115"/>
    <mergeCell ref="K114:M115"/>
    <mergeCell ref="A94:A96"/>
    <mergeCell ref="M94:M96"/>
    <mergeCell ref="A73:A75"/>
    <mergeCell ref="M73:M75"/>
    <mergeCell ref="A76:A78"/>
    <mergeCell ref="M76:M78"/>
    <mergeCell ref="A79:A81"/>
    <mergeCell ref="M79:M81"/>
    <mergeCell ref="A82:A84"/>
    <mergeCell ref="M82:M84"/>
    <mergeCell ref="A85:A87"/>
    <mergeCell ref="M85:M87"/>
    <mergeCell ref="A92:A93"/>
    <mergeCell ref="A71:A72"/>
    <mergeCell ref="M71:M72"/>
    <mergeCell ref="A51:A53"/>
    <mergeCell ref="I51:K53"/>
    <mergeCell ref="A54:A56"/>
    <mergeCell ref="I54:K56"/>
    <mergeCell ref="A57:A59"/>
    <mergeCell ref="I57:K59"/>
    <mergeCell ref="A60:A62"/>
    <mergeCell ref="I60:K62"/>
    <mergeCell ref="A63:A65"/>
    <mergeCell ref="I63:K65"/>
    <mergeCell ref="A70:M70"/>
    <mergeCell ref="A49:A50"/>
    <mergeCell ref="I49:K50"/>
    <mergeCell ref="A29:A31"/>
    <mergeCell ref="E29:H31"/>
    <mergeCell ref="A32:A34"/>
    <mergeCell ref="E32:H34"/>
    <mergeCell ref="A35:A37"/>
    <mergeCell ref="E35:H37"/>
    <mergeCell ref="A38:A40"/>
    <mergeCell ref="E38:H40"/>
    <mergeCell ref="A41:A43"/>
    <mergeCell ref="E41:H43"/>
    <mergeCell ref="A48:K48"/>
    <mergeCell ref="A19:A21"/>
    <mergeCell ref="L19:M21"/>
    <mergeCell ref="A26:A28"/>
    <mergeCell ref="B26:B27"/>
    <mergeCell ref="C26:C27"/>
    <mergeCell ref="D26:D27"/>
    <mergeCell ref="E26:H27"/>
    <mergeCell ref="A10:A12"/>
    <mergeCell ref="L10:M12"/>
    <mergeCell ref="A13:A15"/>
    <mergeCell ref="L13:M15"/>
    <mergeCell ref="A16:A18"/>
    <mergeCell ref="L16:M18"/>
    <mergeCell ref="A7:A9"/>
    <mergeCell ref="L7:M9"/>
    <mergeCell ref="A3:M3"/>
    <mergeCell ref="A4:A6"/>
    <mergeCell ref="B4:H4"/>
    <mergeCell ref="I4:K4"/>
    <mergeCell ref="L4:M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CF25-3FF4-4D99-A2BE-E310AFE16BCB}">
  <sheetPr>
    <tabColor rgb="FFFF0000"/>
  </sheetPr>
  <dimension ref="A1:I56"/>
  <sheetViews>
    <sheetView zoomScaleNormal="100" workbookViewId="0">
      <pane ySplit="1" topLeftCell="A29" activePane="bottomLeft" state="frozen"/>
      <selection pane="bottomLeft" activeCell="C44" sqref="C44"/>
    </sheetView>
  </sheetViews>
  <sheetFormatPr defaultRowHeight="15" x14ac:dyDescent="0.2"/>
  <cols>
    <col min="1" max="1" width="8.875" style="3" bestFit="1" customWidth="1"/>
    <col min="2" max="2" width="9.55078125" style="3" bestFit="1" customWidth="1"/>
    <col min="3" max="4" width="23.5390625" style="112" bestFit="1" customWidth="1"/>
    <col min="5" max="5" width="19.1015625" style="3" bestFit="1" customWidth="1"/>
    <col min="6" max="6" width="33.8984375" style="3" bestFit="1" customWidth="1"/>
    <col min="7" max="7" width="10.4921875" style="3" bestFit="1" customWidth="1"/>
    <col min="8" max="8" width="21.92578125" style="3" bestFit="1" customWidth="1"/>
    <col min="9" max="9" width="84.61328125" bestFit="1" customWidth="1"/>
  </cols>
  <sheetData>
    <row r="1" spans="1:8" s="38" customFormat="1" x14ac:dyDescent="0.2">
      <c r="A1" s="113" t="s">
        <v>1856</v>
      </c>
      <c r="B1" s="113" t="s">
        <v>1857</v>
      </c>
      <c r="C1" s="114" t="s">
        <v>1858</v>
      </c>
      <c r="D1" s="114" t="s">
        <v>1859</v>
      </c>
      <c r="E1" s="113" t="s">
        <v>2</v>
      </c>
      <c r="F1" s="113" t="s">
        <v>1860</v>
      </c>
      <c r="G1" s="113" t="s">
        <v>1861</v>
      </c>
      <c r="H1" s="113" t="s">
        <v>1862</v>
      </c>
    </row>
    <row r="2" spans="1:8" x14ac:dyDescent="0.2">
      <c r="A2" s="3">
        <v>1</v>
      </c>
      <c r="B2" s="3">
        <f t="shared" ref="B2:B28" si="0">WEEKNUM(C2)</f>
        <v>15</v>
      </c>
      <c r="C2" s="112">
        <v>46118</v>
      </c>
      <c r="D2" s="112">
        <v>46118</v>
      </c>
      <c r="E2" s="3" t="s">
        <v>315</v>
      </c>
      <c r="F2" s="3" t="s">
        <v>1863</v>
      </c>
      <c r="G2" s="3" t="s">
        <v>301</v>
      </c>
      <c r="H2" s="3" t="s">
        <v>302</v>
      </c>
    </row>
    <row r="3" spans="1:8" x14ac:dyDescent="0.2">
      <c r="A3" s="3">
        <v>2</v>
      </c>
      <c r="B3" s="3">
        <f t="shared" si="0"/>
        <v>15</v>
      </c>
      <c r="C3" s="112">
        <v>46118</v>
      </c>
      <c r="D3" s="112">
        <v>46119</v>
      </c>
      <c r="E3" s="3" t="s">
        <v>1864</v>
      </c>
      <c r="F3" s="3" t="s">
        <v>1865</v>
      </c>
    </row>
    <row r="4" spans="1:8" x14ac:dyDescent="0.2">
      <c r="A4" s="3">
        <v>3</v>
      </c>
      <c r="B4" s="3">
        <f t="shared" si="0"/>
        <v>15</v>
      </c>
      <c r="C4" s="112">
        <v>46119</v>
      </c>
      <c r="D4" s="112">
        <v>46119</v>
      </c>
      <c r="E4" s="3" t="s">
        <v>315</v>
      </c>
      <c r="F4" s="3" t="s">
        <v>1866</v>
      </c>
      <c r="G4" s="3" t="s">
        <v>1867</v>
      </c>
      <c r="H4" s="3" t="s">
        <v>317</v>
      </c>
    </row>
    <row r="5" spans="1:8" x14ac:dyDescent="0.2">
      <c r="A5" s="3">
        <v>4</v>
      </c>
      <c r="B5" s="3">
        <f t="shared" si="0"/>
        <v>15</v>
      </c>
      <c r="C5" s="112">
        <v>46119</v>
      </c>
      <c r="D5" s="112">
        <v>46119</v>
      </c>
      <c r="E5" s="3" t="s">
        <v>315</v>
      </c>
      <c r="F5" s="3" t="s">
        <v>1863</v>
      </c>
      <c r="G5" s="3" t="s">
        <v>303</v>
      </c>
      <c r="H5" s="3" t="s">
        <v>304</v>
      </c>
    </row>
    <row r="6" spans="1:8" x14ac:dyDescent="0.2">
      <c r="A6" s="3">
        <v>5</v>
      </c>
      <c r="B6" s="3">
        <f t="shared" si="0"/>
        <v>15</v>
      </c>
      <c r="C6" s="112">
        <v>46119</v>
      </c>
      <c r="D6" s="112">
        <v>46120</v>
      </c>
      <c r="E6" s="3" t="s">
        <v>1868</v>
      </c>
      <c r="F6" s="3" t="s">
        <v>1869</v>
      </c>
      <c r="G6" s="3" t="s">
        <v>1870</v>
      </c>
      <c r="H6" s="3" t="s">
        <v>1871</v>
      </c>
    </row>
    <row r="7" spans="1:8" x14ac:dyDescent="0.2">
      <c r="A7" s="3">
        <v>6</v>
      </c>
      <c r="B7" s="3">
        <f t="shared" si="0"/>
        <v>15</v>
      </c>
      <c r="C7" s="112">
        <v>46119</v>
      </c>
      <c r="D7" s="112">
        <v>46120</v>
      </c>
      <c r="E7" s="3" t="s">
        <v>1864</v>
      </c>
      <c r="F7" s="3" t="s">
        <v>1872</v>
      </c>
    </row>
    <row r="8" spans="1:8" x14ac:dyDescent="0.2">
      <c r="A8" s="3">
        <v>7</v>
      </c>
      <c r="B8" s="3">
        <f t="shared" si="0"/>
        <v>15</v>
      </c>
      <c r="C8" s="112">
        <v>46119</v>
      </c>
      <c r="D8" s="112">
        <v>46120</v>
      </c>
      <c r="E8" s="3" t="s">
        <v>1864</v>
      </c>
      <c r="F8" s="3" t="s">
        <v>1865</v>
      </c>
    </row>
    <row r="9" spans="1:8" x14ac:dyDescent="0.2">
      <c r="A9" s="3">
        <v>8</v>
      </c>
      <c r="B9" s="3">
        <f t="shared" si="0"/>
        <v>15</v>
      </c>
      <c r="C9" s="112">
        <v>46119</v>
      </c>
      <c r="D9" s="112">
        <v>46120</v>
      </c>
      <c r="E9" s="3" t="s">
        <v>1864</v>
      </c>
      <c r="F9" s="3" t="s">
        <v>1873</v>
      </c>
      <c r="G9" s="3" t="s">
        <v>1874</v>
      </c>
      <c r="H9" s="3" t="s">
        <v>1875</v>
      </c>
    </row>
    <row r="10" spans="1:8" x14ac:dyDescent="0.2">
      <c r="A10" s="3">
        <v>9</v>
      </c>
      <c r="B10" s="3">
        <f t="shared" si="0"/>
        <v>15</v>
      </c>
      <c r="C10" s="112">
        <v>46120</v>
      </c>
      <c r="D10" s="112">
        <v>46120</v>
      </c>
      <c r="E10" s="3" t="s">
        <v>315</v>
      </c>
      <c r="F10" s="3" t="s">
        <v>1863</v>
      </c>
      <c r="G10" s="3" t="s">
        <v>305</v>
      </c>
      <c r="H10" s="3" t="s">
        <v>306</v>
      </c>
    </row>
    <row r="11" spans="1:8" x14ac:dyDescent="0.2">
      <c r="A11" s="3">
        <v>10</v>
      </c>
      <c r="B11" s="3">
        <f t="shared" si="0"/>
        <v>15</v>
      </c>
      <c r="C11" s="112">
        <v>46120</v>
      </c>
      <c r="D11" s="112">
        <v>46121</v>
      </c>
      <c r="E11" s="3" t="s">
        <v>1864</v>
      </c>
      <c r="F11" s="3" t="s">
        <v>1876</v>
      </c>
    </row>
    <row r="12" spans="1:8" x14ac:dyDescent="0.2">
      <c r="A12" s="3">
        <v>11</v>
      </c>
      <c r="B12" s="3">
        <f t="shared" si="0"/>
        <v>15</v>
      </c>
      <c r="C12" s="112">
        <v>46120</v>
      </c>
      <c r="D12" s="112">
        <v>46121</v>
      </c>
      <c r="E12" s="3" t="s">
        <v>1864</v>
      </c>
      <c r="F12" s="3" t="s">
        <v>1865</v>
      </c>
    </row>
    <row r="13" spans="1:8" x14ac:dyDescent="0.2">
      <c r="A13" s="3">
        <v>12</v>
      </c>
      <c r="B13" s="3">
        <f t="shared" si="0"/>
        <v>15</v>
      </c>
      <c r="C13" s="112">
        <v>46120</v>
      </c>
      <c r="D13" s="112">
        <v>46121</v>
      </c>
      <c r="E13" s="3" t="s">
        <v>1864</v>
      </c>
      <c r="F13" s="3" t="s">
        <v>1873</v>
      </c>
      <c r="G13" s="3" t="s">
        <v>328</v>
      </c>
      <c r="H13" s="3" t="s">
        <v>1877</v>
      </c>
    </row>
    <row r="14" spans="1:8" x14ac:dyDescent="0.2">
      <c r="A14" s="3">
        <v>13</v>
      </c>
      <c r="B14" s="3">
        <f t="shared" si="0"/>
        <v>15</v>
      </c>
      <c r="C14" s="112">
        <v>46120</v>
      </c>
      <c r="D14" s="112">
        <v>46121</v>
      </c>
      <c r="E14" s="3" t="s">
        <v>1878</v>
      </c>
      <c r="F14" s="3" t="s">
        <v>1879</v>
      </c>
      <c r="G14" s="3" t="s">
        <v>323</v>
      </c>
      <c r="H14" s="3" t="s">
        <v>324</v>
      </c>
    </row>
    <row r="15" spans="1:8" x14ac:dyDescent="0.2">
      <c r="A15" s="3">
        <v>14</v>
      </c>
      <c r="B15" s="3">
        <f t="shared" si="0"/>
        <v>15</v>
      </c>
      <c r="C15" s="112">
        <v>46121</v>
      </c>
      <c r="D15" s="112">
        <v>46122</v>
      </c>
      <c r="E15" s="3" t="s">
        <v>1864</v>
      </c>
      <c r="F15" s="3" t="s">
        <v>1873</v>
      </c>
      <c r="G15" s="3" t="s">
        <v>1880</v>
      </c>
      <c r="H15" s="3" t="s">
        <v>1875</v>
      </c>
    </row>
    <row r="16" spans="1:8" x14ac:dyDescent="0.2">
      <c r="A16" s="3">
        <v>15</v>
      </c>
      <c r="B16" s="3">
        <f t="shared" si="0"/>
        <v>16</v>
      </c>
      <c r="C16" s="112">
        <v>46125</v>
      </c>
      <c r="D16" s="112">
        <v>46125</v>
      </c>
      <c r="E16" s="3" t="s">
        <v>315</v>
      </c>
      <c r="F16" s="3" t="s">
        <v>1863</v>
      </c>
      <c r="G16" s="3" t="s">
        <v>301</v>
      </c>
      <c r="H16" s="3" t="s">
        <v>549</v>
      </c>
    </row>
    <row r="17" spans="1:8" x14ac:dyDescent="0.2">
      <c r="A17" s="3">
        <v>16</v>
      </c>
      <c r="B17" s="3">
        <f t="shared" si="0"/>
        <v>16</v>
      </c>
      <c r="C17" s="112">
        <v>46126</v>
      </c>
      <c r="D17" s="112">
        <v>46126</v>
      </c>
      <c r="E17" s="3" t="s">
        <v>315</v>
      </c>
      <c r="F17" s="3" t="s">
        <v>1863</v>
      </c>
      <c r="G17" s="3" t="s">
        <v>301</v>
      </c>
      <c r="H17" s="3" t="s">
        <v>549</v>
      </c>
    </row>
    <row r="18" spans="1:8" x14ac:dyDescent="0.2">
      <c r="A18" s="3">
        <v>17</v>
      </c>
      <c r="B18" s="3">
        <f t="shared" si="0"/>
        <v>16</v>
      </c>
      <c r="C18" s="112">
        <v>46127</v>
      </c>
      <c r="D18" s="112">
        <v>46127</v>
      </c>
      <c r="E18" s="3" t="s">
        <v>315</v>
      </c>
      <c r="F18" s="3" t="s">
        <v>1863</v>
      </c>
      <c r="G18" s="3" t="s">
        <v>326</v>
      </c>
      <c r="H18" s="2" t="s">
        <v>560</v>
      </c>
    </row>
    <row r="19" spans="1:8" x14ac:dyDescent="0.2">
      <c r="A19" s="3">
        <v>18</v>
      </c>
      <c r="B19" s="3">
        <f t="shared" si="0"/>
        <v>17</v>
      </c>
      <c r="C19" s="112">
        <v>46136</v>
      </c>
      <c r="D19" s="112">
        <v>46137</v>
      </c>
      <c r="E19" s="3" t="s">
        <v>1868</v>
      </c>
      <c r="F19" s="3" t="s">
        <v>1881</v>
      </c>
      <c r="G19" s="3" t="s">
        <v>1882</v>
      </c>
      <c r="H19" s="3" t="s">
        <v>1883</v>
      </c>
    </row>
    <row r="20" spans="1:8" x14ac:dyDescent="0.2">
      <c r="A20" s="3">
        <v>19</v>
      </c>
      <c r="B20" s="3">
        <f t="shared" si="0"/>
        <v>17</v>
      </c>
      <c r="C20" s="112">
        <v>46136</v>
      </c>
      <c r="D20" s="112">
        <v>46137</v>
      </c>
      <c r="E20" s="3" t="s">
        <v>1868</v>
      </c>
      <c r="F20" s="3" t="s">
        <v>1884</v>
      </c>
      <c r="G20" s="3" t="s">
        <v>1882</v>
      </c>
      <c r="H20" s="3" t="s">
        <v>1883</v>
      </c>
    </row>
    <row r="21" spans="1:8" x14ac:dyDescent="0.2">
      <c r="A21" s="3">
        <v>20</v>
      </c>
      <c r="B21" s="3">
        <f t="shared" si="0"/>
        <v>17</v>
      </c>
      <c r="C21" s="112">
        <v>46136</v>
      </c>
      <c r="D21" s="112">
        <v>46137</v>
      </c>
      <c r="E21" s="3" t="s">
        <v>1878</v>
      </c>
      <c r="F21" s="3" t="s">
        <v>1885</v>
      </c>
    </row>
    <row r="22" spans="1:8" x14ac:dyDescent="0.2">
      <c r="A22" s="3">
        <v>21</v>
      </c>
      <c r="B22" s="3">
        <f t="shared" si="0"/>
        <v>18</v>
      </c>
      <c r="C22" s="112">
        <v>46140</v>
      </c>
      <c r="D22" s="112">
        <v>46140</v>
      </c>
      <c r="E22" s="3" t="s">
        <v>315</v>
      </c>
      <c r="F22" s="3" t="s">
        <v>1866</v>
      </c>
      <c r="G22" s="3" t="s">
        <v>303</v>
      </c>
      <c r="H22" s="2" t="s">
        <v>325</v>
      </c>
    </row>
    <row r="23" spans="1:8" x14ac:dyDescent="0.2">
      <c r="A23" s="3">
        <v>22</v>
      </c>
      <c r="B23" s="3">
        <f t="shared" si="0"/>
        <v>18</v>
      </c>
      <c r="C23" s="112">
        <v>46141</v>
      </c>
      <c r="D23" s="112">
        <v>46142</v>
      </c>
      <c r="E23" s="3" t="s">
        <v>1878</v>
      </c>
      <c r="F23" s="3" t="s">
        <v>1886</v>
      </c>
      <c r="G23" s="3" t="s">
        <v>1887</v>
      </c>
      <c r="H23" s="3" t="s">
        <v>1888</v>
      </c>
    </row>
    <row r="24" spans="1:8" x14ac:dyDescent="0.2">
      <c r="A24" s="3">
        <v>23</v>
      </c>
      <c r="B24" s="3">
        <f t="shared" si="0"/>
        <v>18</v>
      </c>
      <c r="C24" s="112">
        <v>46142</v>
      </c>
      <c r="D24" s="112">
        <v>46142</v>
      </c>
      <c r="E24" s="3" t="s">
        <v>315</v>
      </c>
      <c r="F24" s="3" t="s">
        <v>1889</v>
      </c>
      <c r="G24" s="3" t="s">
        <v>326</v>
      </c>
      <c r="H24" s="3" t="s">
        <v>1031</v>
      </c>
    </row>
    <row r="25" spans="1:8" x14ac:dyDescent="0.2">
      <c r="A25" s="3">
        <v>24</v>
      </c>
      <c r="B25" s="3">
        <f t="shared" si="0"/>
        <v>18</v>
      </c>
      <c r="C25" s="112">
        <v>46142</v>
      </c>
      <c r="D25" s="112">
        <v>46144</v>
      </c>
      <c r="E25" s="3" t="s">
        <v>1878</v>
      </c>
      <c r="F25" s="3" t="s">
        <v>1890</v>
      </c>
    </row>
    <row r="26" spans="1:8" x14ac:dyDescent="0.2">
      <c r="A26" s="3">
        <v>25</v>
      </c>
      <c r="B26" s="3">
        <f t="shared" si="0"/>
        <v>19</v>
      </c>
      <c r="C26" s="112">
        <v>46148</v>
      </c>
      <c r="D26" s="112">
        <v>46149</v>
      </c>
      <c r="E26" s="3" t="s">
        <v>1868</v>
      </c>
      <c r="F26" s="3" t="s">
        <v>1891</v>
      </c>
      <c r="G26" s="3" t="s">
        <v>1033</v>
      </c>
      <c r="H26" s="3" t="s">
        <v>1892</v>
      </c>
    </row>
    <row r="27" spans="1:8" x14ac:dyDescent="0.2">
      <c r="A27" s="3">
        <v>26</v>
      </c>
      <c r="B27" s="3">
        <f t="shared" si="0"/>
        <v>19</v>
      </c>
      <c r="C27" s="112">
        <v>46149</v>
      </c>
      <c r="D27" s="112">
        <v>46153</v>
      </c>
      <c r="E27" s="3" t="s">
        <v>1878</v>
      </c>
      <c r="F27" s="3" t="s">
        <v>1893</v>
      </c>
    </row>
    <row r="28" spans="1:8" x14ac:dyDescent="0.2">
      <c r="A28" s="3">
        <v>27</v>
      </c>
      <c r="B28" s="3">
        <f t="shared" si="0"/>
        <v>19</v>
      </c>
      <c r="C28" s="112">
        <v>46150</v>
      </c>
      <c r="D28" s="112">
        <v>46153</v>
      </c>
      <c r="E28" s="3" t="s">
        <v>1878</v>
      </c>
      <c r="F28" s="3" t="s">
        <v>1893</v>
      </c>
    </row>
    <row r="29" spans="1:8" x14ac:dyDescent="0.2">
      <c r="A29" s="3">
        <v>28</v>
      </c>
      <c r="B29" s="3">
        <f t="shared" ref="B29:B56" si="1">WEEKNUM(C29)</f>
        <v>20</v>
      </c>
      <c r="C29" s="112">
        <v>46156</v>
      </c>
      <c r="D29" s="112">
        <v>46157</v>
      </c>
      <c r="E29" s="3" t="s">
        <v>1864</v>
      </c>
      <c r="F29" s="3" t="s">
        <v>1873</v>
      </c>
      <c r="G29" s="3" t="s">
        <v>793</v>
      </c>
      <c r="H29" s="3" t="s">
        <v>1894</v>
      </c>
    </row>
    <row r="30" spans="1:8" x14ac:dyDescent="0.2">
      <c r="A30" s="3">
        <v>29</v>
      </c>
      <c r="B30" s="3">
        <f t="shared" si="1"/>
        <v>20</v>
      </c>
      <c r="C30" s="112">
        <v>46157</v>
      </c>
      <c r="D30" s="112">
        <v>46158</v>
      </c>
      <c r="E30" s="3" t="s">
        <v>1864</v>
      </c>
      <c r="F30" s="3" t="s">
        <v>1876</v>
      </c>
    </row>
    <row r="31" spans="1:8" x14ac:dyDescent="0.2">
      <c r="A31" s="3">
        <v>30</v>
      </c>
      <c r="B31" s="3">
        <f t="shared" si="1"/>
        <v>20</v>
      </c>
      <c r="C31" s="112">
        <v>46157</v>
      </c>
      <c r="D31" s="112">
        <v>46158</v>
      </c>
      <c r="E31" s="3" t="s">
        <v>1878</v>
      </c>
      <c r="F31" s="3" t="s">
        <v>1895</v>
      </c>
    </row>
    <row r="32" spans="1:8" x14ac:dyDescent="0.2">
      <c r="A32" s="3">
        <v>31</v>
      </c>
      <c r="B32" s="3">
        <f t="shared" si="1"/>
        <v>20</v>
      </c>
      <c r="C32" s="112">
        <v>46157</v>
      </c>
      <c r="D32" s="112">
        <v>46158</v>
      </c>
      <c r="E32" s="3" t="s">
        <v>1878</v>
      </c>
      <c r="F32" s="3" t="s">
        <v>1895</v>
      </c>
    </row>
    <row r="33" spans="1:9" x14ac:dyDescent="0.2">
      <c r="A33" s="3">
        <v>32</v>
      </c>
      <c r="B33" s="3">
        <f t="shared" si="1"/>
        <v>21</v>
      </c>
      <c r="C33" s="112">
        <v>46161</v>
      </c>
      <c r="D33" s="112">
        <v>46161</v>
      </c>
      <c r="E33" s="3" t="s">
        <v>315</v>
      </c>
      <c r="F33" s="3" t="s">
        <v>1896</v>
      </c>
      <c r="G33" s="3" t="s">
        <v>303</v>
      </c>
      <c r="H33" s="3" t="s">
        <v>331</v>
      </c>
    </row>
    <row r="34" spans="1:9" x14ac:dyDescent="0.2">
      <c r="A34" s="3">
        <v>33</v>
      </c>
      <c r="B34" s="3">
        <f t="shared" si="1"/>
        <v>21</v>
      </c>
      <c r="C34" s="112">
        <v>46161</v>
      </c>
      <c r="D34" s="112">
        <v>46162</v>
      </c>
      <c r="E34" s="3" t="s">
        <v>1878</v>
      </c>
      <c r="F34" s="3" t="s">
        <v>1897</v>
      </c>
      <c r="G34" s="3" t="s">
        <v>1898</v>
      </c>
      <c r="H34" s="3" t="s">
        <v>1899</v>
      </c>
    </row>
    <row r="35" spans="1:9" x14ac:dyDescent="0.2">
      <c r="A35" s="3">
        <v>34</v>
      </c>
      <c r="B35" s="3">
        <f t="shared" si="1"/>
        <v>21</v>
      </c>
      <c r="C35" s="112">
        <v>46161</v>
      </c>
      <c r="D35" s="112">
        <v>46162</v>
      </c>
      <c r="E35" s="3" t="s">
        <v>1878</v>
      </c>
      <c r="F35" s="3" t="s">
        <v>1900</v>
      </c>
      <c r="G35" s="3" t="s">
        <v>1898</v>
      </c>
      <c r="H35" s="3" t="s">
        <v>1899</v>
      </c>
    </row>
    <row r="36" spans="1:9" x14ac:dyDescent="0.2">
      <c r="A36" s="3">
        <v>35</v>
      </c>
      <c r="B36" s="3">
        <f t="shared" si="1"/>
        <v>22</v>
      </c>
      <c r="C36" s="112">
        <v>46168</v>
      </c>
      <c r="D36" s="112">
        <v>46168</v>
      </c>
      <c r="E36" s="3" t="s">
        <v>315</v>
      </c>
      <c r="F36" s="3" t="s">
        <v>2004</v>
      </c>
      <c r="G36" s="3" t="s">
        <v>332</v>
      </c>
      <c r="H36" s="3" t="s">
        <v>1963</v>
      </c>
    </row>
    <row r="37" spans="1:9" x14ac:dyDescent="0.2">
      <c r="A37" s="3">
        <v>36</v>
      </c>
      <c r="B37" s="3">
        <f t="shared" si="1"/>
        <v>24</v>
      </c>
      <c r="C37" s="112">
        <v>46184</v>
      </c>
      <c r="D37" s="112">
        <v>46185</v>
      </c>
      <c r="E37" s="3" t="s">
        <v>1868</v>
      </c>
      <c r="F37" s="3" t="s">
        <v>1869</v>
      </c>
      <c r="G37" s="3" t="s">
        <v>2338</v>
      </c>
      <c r="H37" s="3" t="s">
        <v>1883</v>
      </c>
    </row>
    <row r="38" spans="1:9" x14ac:dyDescent="0.2">
      <c r="A38" s="3">
        <v>37</v>
      </c>
      <c r="B38" s="3">
        <f t="shared" si="1"/>
        <v>24</v>
      </c>
      <c r="C38" s="112">
        <v>46185</v>
      </c>
      <c r="D38" s="112">
        <v>46186</v>
      </c>
      <c r="E38" s="3" t="s">
        <v>1864</v>
      </c>
      <c r="F38" s="3" t="s">
        <v>2507</v>
      </c>
      <c r="G38" s="3" t="s">
        <v>2197</v>
      </c>
      <c r="H38" s="3" t="s">
        <v>2197</v>
      </c>
      <c r="I38" t="s">
        <v>2506</v>
      </c>
    </row>
    <row r="39" spans="1:9" x14ac:dyDescent="0.2">
      <c r="A39" s="3">
        <v>38</v>
      </c>
      <c r="B39" s="3">
        <f t="shared" si="1"/>
        <v>25</v>
      </c>
      <c r="C39" s="112">
        <v>46189</v>
      </c>
      <c r="D39" s="112">
        <v>46191</v>
      </c>
      <c r="E39" s="3" t="s">
        <v>1864</v>
      </c>
      <c r="F39" s="3" t="s">
        <v>1872</v>
      </c>
      <c r="G39" s="3" t="s">
        <v>793</v>
      </c>
      <c r="H39" s="3" t="s">
        <v>1029</v>
      </c>
    </row>
    <row r="40" spans="1:9" x14ac:dyDescent="0.2">
      <c r="A40" s="3">
        <v>39</v>
      </c>
      <c r="B40" s="3">
        <f t="shared" si="1"/>
        <v>25</v>
      </c>
      <c r="C40" s="112">
        <v>46192</v>
      </c>
      <c r="D40" s="112">
        <v>46193</v>
      </c>
      <c r="E40" s="3" t="s">
        <v>1864</v>
      </c>
      <c r="F40" s="3" t="s">
        <v>1873</v>
      </c>
      <c r="G40" s="3" t="s">
        <v>1035</v>
      </c>
      <c r="H40" s="3" t="s">
        <v>330</v>
      </c>
    </row>
    <row r="41" spans="1:9" x14ac:dyDescent="0.2">
      <c r="A41" s="3">
        <v>40</v>
      </c>
      <c r="B41" s="3">
        <f t="shared" si="1"/>
        <v>26</v>
      </c>
      <c r="C41" s="112">
        <v>46195</v>
      </c>
      <c r="D41" s="112">
        <v>46196</v>
      </c>
      <c r="E41" s="3" t="s">
        <v>1864</v>
      </c>
      <c r="F41" s="3" t="s">
        <v>1876</v>
      </c>
      <c r="G41" s="3" t="s">
        <v>2473</v>
      </c>
      <c r="I41" s="145" t="s">
        <v>2781</v>
      </c>
    </row>
    <row r="42" spans="1:9" x14ac:dyDescent="0.2">
      <c r="A42" s="3">
        <v>41</v>
      </c>
      <c r="B42" s="3">
        <f t="shared" ref="B42" si="2">WEEKNUM(C42)</f>
        <v>26</v>
      </c>
      <c r="C42" s="112">
        <v>46195</v>
      </c>
      <c r="D42" s="112">
        <v>46196</v>
      </c>
      <c r="E42" s="3" t="s">
        <v>1878</v>
      </c>
      <c r="F42" s="3" t="s">
        <v>1873</v>
      </c>
      <c r="G42" s="3" t="s">
        <v>2782</v>
      </c>
      <c r="H42" s="3" t="s">
        <v>2783</v>
      </c>
      <c r="I42" s="145" t="s">
        <v>2784</v>
      </c>
    </row>
    <row r="43" spans="1:9" x14ac:dyDescent="0.2">
      <c r="A43" s="3">
        <v>42</v>
      </c>
      <c r="B43" s="3">
        <f t="shared" si="1"/>
        <v>26</v>
      </c>
      <c r="C43" s="112">
        <v>46196</v>
      </c>
      <c r="D43" s="112">
        <v>46197</v>
      </c>
      <c r="E43" s="3" t="s">
        <v>1878</v>
      </c>
      <c r="F43" s="3" t="s">
        <v>2780</v>
      </c>
      <c r="G43" s="3" t="s">
        <v>570</v>
      </c>
      <c r="H43" s="3" t="s">
        <v>571</v>
      </c>
    </row>
    <row r="44" spans="1:9" x14ac:dyDescent="0.2">
      <c r="A44" s="3">
        <v>43</v>
      </c>
      <c r="B44" s="3">
        <f t="shared" si="1"/>
        <v>0</v>
      </c>
    </row>
    <row r="45" spans="1:9" x14ac:dyDescent="0.2">
      <c r="A45" s="3">
        <v>44</v>
      </c>
      <c r="B45" s="3">
        <f t="shared" si="1"/>
        <v>0</v>
      </c>
    </row>
    <row r="46" spans="1:9" x14ac:dyDescent="0.2">
      <c r="A46" s="3">
        <v>45</v>
      </c>
      <c r="B46" s="3">
        <f t="shared" si="1"/>
        <v>0</v>
      </c>
    </row>
    <row r="47" spans="1:9" x14ac:dyDescent="0.2">
      <c r="A47" s="3">
        <v>46</v>
      </c>
      <c r="B47" s="3">
        <f t="shared" si="1"/>
        <v>0</v>
      </c>
    </row>
    <row r="48" spans="1:9" x14ac:dyDescent="0.2">
      <c r="A48" s="3">
        <v>47</v>
      </c>
      <c r="B48" s="3">
        <f t="shared" si="1"/>
        <v>0</v>
      </c>
    </row>
    <row r="49" spans="1:2" x14ac:dyDescent="0.2">
      <c r="A49" s="3">
        <v>48</v>
      </c>
      <c r="B49" s="3">
        <f t="shared" si="1"/>
        <v>0</v>
      </c>
    </row>
    <row r="50" spans="1:2" x14ac:dyDescent="0.2">
      <c r="A50" s="3">
        <v>49</v>
      </c>
      <c r="B50" s="3">
        <f t="shared" si="1"/>
        <v>0</v>
      </c>
    </row>
    <row r="51" spans="1:2" x14ac:dyDescent="0.2">
      <c r="A51" s="3">
        <v>50</v>
      </c>
      <c r="B51" s="3">
        <f t="shared" si="1"/>
        <v>0</v>
      </c>
    </row>
    <row r="52" spans="1:2" x14ac:dyDescent="0.2">
      <c r="A52" s="3">
        <v>51</v>
      </c>
      <c r="B52" s="3">
        <f t="shared" si="1"/>
        <v>0</v>
      </c>
    </row>
    <row r="53" spans="1:2" x14ac:dyDescent="0.2">
      <c r="A53" s="3">
        <v>52</v>
      </c>
      <c r="B53" s="3">
        <f t="shared" si="1"/>
        <v>0</v>
      </c>
    </row>
    <row r="54" spans="1:2" x14ac:dyDescent="0.2">
      <c r="A54" s="3">
        <v>53</v>
      </c>
      <c r="B54" s="3">
        <f t="shared" si="1"/>
        <v>0</v>
      </c>
    </row>
    <row r="55" spans="1:2" x14ac:dyDescent="0.2">
      <c r="A55" s="3">
        <v>54</v>
      </c>
      <c r="B55" s="3">
        <f t="shared" si="1"/>
        <v>0</v>
      </c>
    </row>
    <row r="56" spans="1:2" x14ac:dyDescent="0.2">
      <c r="A56" s="3">
        <v>55</v>
      </c>
      <c r="B56" s="3">
        <f t="shared" si="1"/>
        <v>0</v>
      </c>
    </row>
  </sheetData>
  <autoFilter ref="A1:H22" xr:uid="{B7CC0592-860D-4D1A-8B69-7F6E46C112DE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7610-D207-4B2D-A7C3-28700E419C12}">
  <sheetPr>
    <tabColor rgb="FFFFFF00"/>
  </sheetPr>
  <dimension ref="A1:O37"/>
  <sheetViews>
    <sheetView workbookViewId="0">
      <pane ySplit="4" topLeftCell="A5" activePane="bottomLeft" state="frozen"/>
      <selection pane="bottomLeft" activeCell="L7" sqref="L7"/>
    </sheetView>
  </sheetViews>
  <sheetFormatPr defaultRowHeight="15" x14ac:dyDescent="0.2"/>
  <cols>
    <col min="1" max="1" width="27.57421875" customWidth="1"/>
    <col min="2" max="13" width="8.609375" style="2"/>
    <col min="14" max="14" width="8.875" style="2"/>
    <col min="15" max="15" width="8.609375" style="2"/>
  </cols>
  <sheetData>
    <row r="1" spans="1:15" ht="24.75" x14ac:dyDescent="0.35">
      <c r="A1" s="90" t="s">
        <v>1901</v>
      </c>
    </row>
    <row r="2" spans="1:15" ht="17.25" thickBot="1" x14ac:dyDescent="0.3">
      <c r="A2" s="91" t="s">
        <v>1902</v>
      </c>
    </row>
    <row r="3" spans="1:15" ht="16.5" x14ac:dyDescent="0.25">
      <c r="A3" s="91"/>
      <c r="B3" s="439" t="s">
        <v>1903</v>
      </c>
      <c r="C3" s="440"/>
      <c r="D3" s="440"/>
      <c r="E3" s="440"/>
      <c r="F3" s="441"/>
      <c r="G3" s="442" t="s">
        <v>1904</v>
      </c>
      <c r="H3" s="440"/>
      <c r="I3" s="440"/>
      <c r="J3" s="441"/>
      <c r="K3" s="443">
        <v>46174</v>
      </c>
      <c r="L3" s="440"/>
      <c r="M3" s="440"/>
      <c r="N3" s="440"/>
      <c r="O3" s="444"/>
    </row>
    <row r="4" spans="1:15" s="38" customFormat="1" x14ac:dyDescent="0.2">
      <c r="B4" s="209" t="s">
        <v>1905</v>
      </c>
      <c r="C4" s="83" t="s">
        <v>1906</v>
      </c>
      <c r="D4" s="83" t="s">
        <v>1907</v>
      </c>
      <c r="E4" s="83" t="s">
        <v>1908</v>
      </c>
      <c r="F4" s="225" t="s">
        <v>1909</v>
      </c>
      <c r="G4" s="209" t="s">
        <v>1910</v>
      </c>
      <c r="H4" s="83" t="s">
        <v>1911</v>
      </c>
      <c r="I4" s="83" t="s">
        <v>1912</v>
      </c>
      <c r="J4" s="225" t="s">
        <v>1913</v>
      </c>
      <c r="K4" s="209" t="s">
        <v>2152</v>
      </c>
      <c r="L4" s="83" t="s">
        <v>2153</v>
      </c>
      <c r="M4" s="83" t="s">
        <v>2154</v>
      </c>
      <c r="N4" s="83" t="s">
        <v>2155</v>
      </c>
      <c r="O4" s="210" t="s">
        <v>2156</v>
      </c>
    </row>
    <row r="5" spans="1:15" s="89" customFormat="1" x14ac:dyDescent="0.2">
      <c r="A5" s="206" t="s">
        <v>1914</v>
      </c>
      <c r="B5" s="211"/>
      <c r="C5" s="93"/>
      <c r="D5" s="93"/>
      <c r="E5" s="93"/>
      <c r="F5" s="226"/>
      <c r="G5" s="211"/>
      <c r="H5" s="93"/>
      <c r="I5" s="93"/>
      <c r="J5" s="226"/>
      <c r="K5" s="211"/>
      <c r="L5" s="93"/>
      <c r="M5" s="93"/>
      <c r="N5" s="93"/>
      <c r="O5" s="212"/>
    </row>
    <row r="6" spans="1:15" x14ac:dyDescent="0.2">
      <c r="A6" s="207" t="s">
        <v>1915</v>
      </c>
      <c r="B6" s="213">
        <v>29</v>
      </c>
      <c r="C6" s="8">
        <v>28</v>
      </c>
      <c r="D6" s="8">
        <v>34</v>
      </c>
      <c r="E6" s="8">
        <v>34</v>
      </c>
      <c r="F6" s="196">
        <v>28</v>
      </c>
      <c r="G6" s="213">
        <v>34</v>
      </c>
      <c r="H6" s="8">
        <v>34</v>
      </c>
      <c r="I6" s="8">
        <v>34</v>
      </c>
      <c r="J6" s="196">
        <v>29</v>
      </c>
      <c r="K6" s="213">
        <v>26</v>
      </c>
      <c r="L6" s="8">
        <v>34</v>
      </c>
      <c r="M6" s="8">
        <v>25</v>
      </c>
      <c r="N6" s="8"/>
      <c r="O6" s="214"/>
    </row>
    <row r="7" spans="1:15" x14ac:dyDescent="0.2">
      <c r="A7" s="207" t="s">
        <v>1916</v>
      </c>
      <c r="B7" s="213">
        <v>24</v>
      </c>
      <c r="C7" s="8">
        <v>16</v>
      </c>
      <c r="D7" s="8">
        <v>25</v>
      </c>
      <c r="E7" s="8">
        <v>25</v>
      </c>
      <c r="F7" s="196">
        <v>13</v>
      </c>
      <c r="G7" s="213">
        <v>25</v>
      </c>
      <c r="H7" s="8">
        <v>25</v>
      </c>
      <c r="I7" s="8">
        <v>25</v>
      </c>
      <c r="J7" s="196">
        <v>24</v>
      </c>
      <c r="K7" s="213">
        <v>13</v>
      </c>
      <c r="L7" s="8">
        <v>25</v>
      </c>
      <c r="M7" s="8">
        <v>22</v>
      </c>
      <c r="N7" s="8"/>
      <c r="O7" s="214"/>
    </row>
    <row r="8" spans="1:15" x14ac:dyDescent="0.2">
      <c r="A8" s="207" t="s">
        <v>1917</v>
      </c>
      <c r="B8" s="213">
        <v>5</v>
      </c>
      <c r="C8" s="8">
        <f>C6-C7</f>
        <v>12</v>
      </c>
      <c r="D8" s="8">
        <v>9</v>
      </c>
      <c r="E8" s="8">
        <v>9</v>
      </c>
      <c r="F8" s="196">
        <v>15</v>
      </c>
      <c r="G8" s="213">
        <v>9</v>
      </c>
      <c r="H8" s="8">
        <v>9</v>
      </c>
      <c r="I8" s="8">
        <v>9</v>
      </c>
      <c r="J8" s="196">
        <v>5</v>
      </c>
      <c r="K8" s="213">
        <v>8</v>
      </c>
      <c r="L8" s="8">
        <v>9</v>
      </c>
      <c r="M8" s="8">
        <v>3</v>
      </c>
      <c r="N8" s="8"/>
      <c r="O8" s="214"/>
    </row>
    <row r="9" spans="1:15" x14ac:dyDescent="0.2">
      <c r="A9" s="207" t="s">
        <v>1918</v>
      </c>
      <c r="B9" s="215">
        <f>(B6-B8)/B6</f>
        <v>0.82758620689655171</v>
      </c>
      <c r="C9" s="94">
        <f>(C6-C8)/C6</f>
        <v>0.5714285714285714</v>
      </c>
      <c r="D9" s="94">
        <f t="shared" ref="D9" si="0">(D6-D8)/D6</f>
        <v>0.73529411764705888</v>
      </c>
      <c r="E9" s="94">
        <f t="shared" ref="E9:O9" si="1">(E6-E8)/E6</f>
        <v>0.73529411764705888</v>
      </c>
      <c r="F9" s="227">
        <f t="shared" si="1"/>
        <v>0.4642857142857143</v>
      </c>
      <c r="G9" s="215">
        <f t="shared" si="1"/>
        <v>0.73529411764705888</v>
      </c>
      <c r="H9" s="94">
        <f t="shared" si="1"/>
        <v>0.73529411764705888</v>
      </c>
      <c r="I9" s="94">
        <f t="shared" si="1"/>
        <v>0.73529411764705888</v>
      </c>
      <c r="J9" s="227">
        <f t="shared" si="1"/>
        <v>0.82758620689655171</v>
      </c>
      <c r="K9" s="215">
        <f t="shared" si="1"/>
        <v>0.69230769230769229</v>
      </c>
      <c r="L9" s="94">
        <f t="shared" si="1"/>
        <v>0.73529411764705888</v>
      </c>
      <c r="M9" s="94">
        <f t="shared" si="1"/>
        <v>0.88</v>
      </c>
      <c r="N9" s="94" t="e">
        <f t="shared" si="1"/>
        <v>#DIV/0!</v>
      </c>
      <c r="O9" s="216" t="e">
        <f t="shared" si="1"/>
        <v>#DIV/0!</v>
      </c>
    </row>
    <row r="10" spans="1:15" x14ac:dyDescent="0.2">
      <c r="A10" s="207"/>
      <c r="B10" s="213"/>
      <c r="C10" s="8"/>
      <c r="D10" s="8"/>
      <c r="E10" s="8"/>
      <c r="F10" s="196"/>
      <c r="G10" s="213"/>
      <c r="H10" s="8"/>
      <c r="I10" s="8"/>
      <c r="J10" s="196"/>
      <c r="K10" s="213"/>
      <c r="L10" s="8"/>
      <c r="M10" s="8"/>
      <c r="N10" s="8"/>
      <c r="O10" s="214"/>
    </row>
    <row r="11" spans="1:15" x14ac:dyDescent="0.2">
      <c r="A11" s="206" t="s">
        <v>1919</v>
      </c>
      <c r="B11" s="213"/>
      <c r="C11" s="8"/>
      <c r="D11" s="8"/>
      <c r="E11" s="8"/>
      <c r="F11" s="196"/>
      <c r="G11" s="213"/>
      <c r="H11" s="8"/>
      <c r="I11" s="8"/>
      <c r="J11" s="196"/>
      <c r="K11" s="213"/>
      <c r="L11" s="8"/>
      <c r="M11" s="8"/>
      <c r="N11" s="8"/>
      <c r="O11" s="214"/>
    </row>
    <row r="12" spans="1:15" x14ac:dyDescent="0.2">
      <c r="A12" s="207" t="s">
        <v>1915</v>
      </c>
      <c r="B12" s="213">
        <v>6</v>
      </c>
      <c r="C12" s="8">
        <v>5</v>
      </c>
      <c r="D12" s="8">
        <v>6</v>
      </c>
      <c r="E12" s="8">
        <v>6</v>
      </c>
      <c r="F12" s="196">
        <v>4</v>
      </c>
      <c r="G12" s="213">
        <v>6</v>
      </c>
      <c r="H12" s="8">
        <v>6</v>
      </c>
      <c r="I12" s="8">
        <v>7</v>
      </c>
      <c r="J12" s="196">
        <v>5</v>
      </c>
      <c r="K12" s="213">
        <v>4</v>
      </c>
      <c r="L12" s="8">
        <v>6</v>
      </c>
      <c r="M12" s="8">
        <v>5</v>
      </c>
      <c r="N12" s="8"/>
      <c r="O12" s="214"/>
    </row>
    <row r="13" spans="1:15" x14ac:dyDescent="0.2">
      <c r="A13" s="207" t="s">
        <v>1916</v>
      </c>
      <c r="B13" s="213">
        <v>6</v>
      </c>
      <c r="C13" s="8">
        <v>4</v>
      </c>
      <c r="D13" s="8">
        <v>6</v>
      </c>
      <c r="E13" s="8">
        <v>5</v>
      </c>
      <c r="F13" s="196">
        <v>3</v>
      </c>
      <c r="G13" s="213">
        <v>5</v>
      </c>
      <c r="H13" s="8">
        <v>6</v>
      </c>
      <c r="I13" s="8">
        <v>6</v>
      </c>
      <c r="J13" s="196">
        <v>3</v>
      </c>
      <c r="K13" s="213">
        <v>3</v>
      </c>
      <c r="L13" s="8">
        <v>5</v>
      </c>
      <c r="M13" s="8">
        <v>4</v>
      </c>
      <c r="N13" s="8"/>
      <c r="O13" s="214"/>
    </row>
    <row r="14" spans="1:15" x14ac:dyDescent="0.2">
      <c r="A14" s="207" t="s">
        <v>1917</v>
      </c>
      <c r="B14" s="213">
        <v>0</v>
      </c>
      <c r="C14" s="8">
        <v>1</v>
      </c>
      <c r="D14" s="8">
        <v>0</v>
      </c>
      <c r="E14" s="8">
        <v>1</v>
      </c>
      <c r="F14" s="196">
        <v>1</v>
      </c>
      <c r="G14" s="213">
        <v>1</v>
      </c>
      <c r="H14" s="8">
        <v>0</v>
      </c>
      <c r="I14" s="8">
        <v>1</v>
      </c>
      <c r="J14" s="196">
        <v>2</v>
      </c>
      <c r="K14" s="213">
        <v>1</v>
      </c>
      <c r="L14" s="8">
        <v>1</v>
      </c>
      <c r="M14" s="8">
        <v>1</v>
      </c>
      <c r="N14" s="8"/>
      <c r="O14" s="214"/>
    </row>
    <row r="15" spans="1:15" x14ac:dyDescent="0.2">
      <c r="A15" s="207" t="s">
        <v>1918</v>
      </c>
      <c r="B15" s="217">
        <f>(B12-B14)/B12</f>
        <v>1</v>
      </c>
      <c r="C15" s="94">
        <f t="shared" ref="C15:F15" si="2">(C12-C14)/C12</f>
        <v>0.8</v>
      </c>
      <c r="D15" s="95">
        <f t="shared" si="2"/>
        <v>1</v>
      </c>
      <c r="E15" s="94">
        <f t="shared" si="2"/>
        <v>0.83333333333333337</v>
      </c>
      <c r="F15" s="227">
        <f t="shared" si="2"/>
        <v>0.75</v>
      </c>
      <c r="G15" s="231">
        <f t="shared" ref="G15:O15" si="3">(G12-G14)/G12</f>
        <v>0.83333333333333337</v>
      </c>
      <c r="H15" s="95">
        <f t="shared" si="3"/>
        <v>1</v>
      </c>
      <c r="I15" s="94">
        <f t="shared" si="3"/>
        <v>0.8571428571428571</v>
      </c>
      <c r="J15" s="227">
        <f t="shared" si="3"/>
        <v>0.6</v>
      </c>
      <c r="K15" s="232">
        <f t="shared" si="3"/>
        <v>0.75</v>
      </c>
      <c r="L15" s="94">
        <f>(L12-L14)/L12</f>
        <v>0.83333333333333337</v>
      </c>
      <c r="M15" s="227">
        <f t="shared" si="3"/>
        <v>0.8</v>
      </c>
      <c r="N15" s="227" t="e">
        <f t="shared" si="3"/>
        <v>#DIV/0!</v>
      </c>
      <c r="O15" s="216" t="e">
        <f t="shared" si="3"/>
        <v>#DIV/0!</v>
      </c>
    </row>
    <row r="16" spans="1:15" x14ac:dyDescent="0.2">
      <c r="A16" s="207"/>
      <c r="B16" s="213"/>
      <c r="C16" s="8"/>
      <c r="D16" s="8"/>
      <c r="E16" s="8"/>
      <c r="F16" s="196"/>
      <c r="G16" s="213"/>
      <c r="H16" s="8"/>
      <c r="I16" s="8"/>
      <c r="J16" s="196"/>
      <c r="K16" s="213"/>
      <c r="L16" s="8"/>
      <c r="M16" s="8"/>
      <c r="N16" s="8"/>
      <c r="O16" s="214"/>
    </row>
    <row r="17" spans="1:15" x14ac:dyDescent="0.2">
      <c r="A17" s="206" t="s">
        <v>1920</v>
      </c>
      <c r="B17" s="213"/>
      <c r="C17" s="8"/>
      <c r="D17" s="8"/>
      <c r="E17" s="8"/>
      <c r="F17" s="196"/>
      <c r="G17" s="213"/>
      <c r="H17" s="8"/>
      <c r="I17" s="8"/>
      <c r="J17" s="196"/>
      <c r="K17" s="213"/>
      <c r="L17" s="8"/>
      <c r="M17" s="8"/>
      <c r="N17" s="8"/>
      <c r="O17" s="214"/>
    </row>
    <row r="18" spans="1:15" x14ac:dyDescent="0.2">
      <c r="A18" s="207" t="s">
        <v>1915</v>
      </c>
      <c r="B18" s="213">
        <v>30</v>
      </c>
      <c r="C18" s="8">
        <v>30</v>
      </c>
      <c r="D18" s="8">
        <v>30</v>
      </c>
      <c r="E18" s="8">
        <v>29</v>
      </c>
      <c r="F18" s="196">
        <v>23</v>
      </c>
      <c r="G18" s="213">
        <v>30</v>
      </c>
      <c r="H18" s="8">
        <v>29</v>
      </c>
      <c r="I18" s="8">
        <v>30</v>
      </c>
      <c r="J18" s="196">
        <v>18</v>
      </c>
      <c r="K18" s="213">
        <v>18</v>
      </c>
      <c r="L18" s="8">
        <v>29</v>
      </c>
      <c r="M18" s="8">
        <v>23</v>
      </c>
      <c r="N18" s="8"/>
      <c r="O18" s="214"/>
    </row>
    <row r="19" spans="1:15" x14ac:dyDescent="0.2">
      <c r="A19" s="207" t="s">
        <v>1916</v>
      </c>
      <c r="B19" s="213">
        <v>30</v>
      </c>
      <c r="C19" s="8">
        <v>28</v>
      </c>
      <c r="D19" s="8">
        <v>27</v>
      </c>
      <c r="E19" s="8">
        <v>26</v>
      </c>
      <c r="F19" s="196">
        <v>23</v>
      </c>
      <c r="G19" s="213">
        <v>30</v>
      </c>
      <c r="H19" s="8">
        <v>27</v>
      </c>
      <c r="I19" s="8">
        <v>20</v>
      </c>
      <c r="J19" s="196">
        <v>16</v>
      </c>
      <c r="K19" s="213">
        <v>18</v>
      </c>
      <c r="L19" s="8">
        <v>29</v>
      </c>
      <c r="M19" s="8">
        <v>22</v>
      </c>
      <c r="N19" s="8"/>
      <c r="O19" s="214"/>
    </row>
    <row r="20" spans="1:15" x14ac:dyDescent="0.2">
      <c r="A20" s="207" t="s">
        <v>1917</v>
      </c>
      <c r="B20" s="213">
        <v>0</v>
      </c>
      <c r="C20" s="8">
        <v>2</v>
      </c>
      <c r="D20" s="8">
        <v>3</v>
      </c>
      <c r="E20" s="8">
        <v>3</v>
      </c>
      <c r="F20" s="196">
        <v>0</v>
      </c>
      <c r="G20" s="213">
        <v>0</v>
      </c>
      <c r="H20" s="8">
        <v>2</v>
      </c>
      <c r="I20" s="8">
        <v>0</v>
      </c>
      <c r="J20" s="196">
        <v>2</v>
      </c>
      <c r="K20" s="213">
        <v>0</v>
      </c>
      <c r="L20" s="8">
        <v>0</v>
      </c>
      <c r="M20" s="8">
        <v>1</v>
      </c>
      <c r="N20" s="8"/>
      <c r="O20" s="214"/>
    </row>
    <row r="21" spans="1:15" x14ac:dyDescent="0.2">
      <c r="A21" s="207" t="s">
        <v>1918</v>
      </c>
      <c r="B21" s="217">
        <f>(B18-B20)/B18</f>
        <v>1</v>
      </c>
      <c r="C21" s="94">
        <f t="shared" ref="C21:F21" si="4">(C18-C20)/C18</f>
        <v>0.93333333333333335</v>
      </c>
      <c r="D21" s="94">
        <f t="shared" si="4"/>
        <v>0.9</v>
      </c>
      <c r="E21" s="94">
        <f t="shared" si="4"/>
        <v>0.89655172413793105</v>
      </c>
      <c r="F21" s="228">
        <f t="shared" si="4"/>
        <v>1</v>
      </c>
      <c r="G21" s="217">
        <f t="shared" ref="G21:O21" si="5">(G18-G20)/G18</f>
        <v>1</v>
      </c>
      <c r="H21" s="94">
        <f t="shared" si="5"/>
        <v>0.93103448275862066</v>
      </c>
      <c r="I21" s="95">
        <f t="shared" si="5"/>
        <v>1</v>
      </c>
      <c r="J21" s="227">
        <f t="shared" si="5"/>
        <v>0.88888888888888884</v>
      </c>
      <c r="K21" s="232">
        <f t="shared" si="5"/>
        <v>1</v>
      </c>
      <c r="L21" s="227">
        <f t="shared" si="5"/>
        <v>1</v>
      </c>
      <c r="M21" s="227">
        <f t="shared" si="5"/>
        <v>0.95652173913043481</v>
      </c>
      <c r="N21" s="227" t="e">
        <f t="shared" si="5"/>
        <v>#DIV/0!</v>
      </c>
      <c r="O21" s="216" t="e">
        <f t="shared" si="5"/>
        <v>#DIV/0!</v>
      </c>
    </row>
    <row r="22" spans="1:15" x14ac:dyDescent="0.2">
      <c r="A22" s="207"/>
      <c r="B22" s="213"/>
      <c r="C22" s="8"/>
      <c r="D22" s="8"/>
      <c r="E22" s="8"/>
      <c r="F22" s="196"/>
      <c r="G22" s="213"/>
      <c r="H22" s="8"/>
      <c r="I22" s="8"/>
      <c r="J22" s="196"/>
      <c r="K22" s="213"/>
      <c r="L22" s="8"/>
      <c r="M22" s="8"/>
      <c r="N22" s="8"/>
      <c r="O22" s="214"/>
    </row>
    <row r="23" spans="1:15" x14ac:dyDescent="0.2">
      <c r="A23" s="206" t="s">
        <v>1921</v>
      </c>
      <c r="B23" s="213"/>
      <c r="C23" s="8"/>
      <c r="D23" s="8"/>
      <c r="E23" s="8"/>
      <c r="F23" s="196"/>
      <c r="G23" s="213"/>
      <c r="H23" s="8"/>
      <c r="I23" s="8"/>
      <c r="J23" s="196"/>
      <c r="K23" s="213"/>
      <c r="L23" s="8"/>
      <c r="M23" s="8"/>
      <c r="N23" s="8"/>
      <c r="O23" s="214"/>
    </row>
    <row r="24" spans="1:15" x14ac:dyDescent="0.2">
      <c r="A24" s="207" t="s">
        <v>1915</v>
      </c>
      <c r="B24" s="213">
        <v>74</v>
      </c>
      <c r="C24" s="8">
        <v>76</v>
      </c>
      <c r="D24" s="8">
        <v>75</v>
      </c>
      <c r="E24" s="8">
        <v>78</v>
      </c>
      <c r="F24" s="196">
        <v>63</v>
      </c>
      <c r="G24" s="213">
        <v>77</v>
      </c>
      <c r="H24" s="8">
        <v>78</v>
      </c>
      <c r="I24" s="8">
        <v>79</v>
      </c>
      <c r="J24" s="196">
        <v>49</v>
      </c>
      <c r="K24" s="213">
        <v>45</v>
      </c>
      <c r="L24" s="8">
        <v>81</v>
      </c>
      <c r="M24" s="8">
        <v>66</v>
      </c>
      <c r="N24" s="8"/>
      <c r="O24" s="214"/>
    </row>
    <row r="25" spans="1:15" x14ac:dyDescent="0.2">
      <c r="A25" s="207" t="s">
        <v>1916</v>
      </c>
      <c r="B25" s="213">
        <v>73</v>
      </c>
      <c r="C25" s="8">
        <v>72</v>
      </c>
      <c r="D25" s="8">
        <v>68</v>
      </c>
      <c r="E25" s="8">
        <v>77</v>
      </c>
      <c r="F25" s="196">
        <v>62</v>
      </c>
      <c r="G25" s="213">
        <v>76</v>
      </c>
      <c r="H25" s="8">
        <v>76</v>
      </c>
      <c r="I25" s="8">
        <v>77</v>
      </c>
      <c r="J25" s="196">
        <v>49</v>
      </c>
      <c r="K25" s="213">
        <v>42</v>
      </c>
      <c r="L25" s="8">
        <v>80</v>
      </c>
      <c r="M25" s="8">
        <v>65</v>
      </c>
      <c r="N25" s="8"/>
      <c r="O25" s="214"/>
    </row>
    <row r="26" spans="1:15" x14ac:dyDescent="0.2">
      <c r="A26" s="207" t="s">
        <v>1917</v>
      </c>
      <c r="B26" s="213">
        <v>1</v>
      </c>
      <c r="C26" s="8">
        <v>4</v>
      </c>
      <c r="D26" s="8">
        <v>7</v>
      </c>
      <c r="E26" s="8">
        <v>1</v>
      </c>
      <c r="F26" s="196">
        <v>1</v>
      </c>
      <c r="G26" s="213">
        <v>1</v>
      </c>
      <c r="H26" s="8">
        <v>2</v>
      </c>
      <c r="I26" s="8">
        <v>2</v>
      </c>
      <c r="J26" s="196">
        <v>0</v>
      </c>
      <c r="K26" s="213">
        <v>3</v>
      </c>
      <c r="L26" s="8">
        <v>1</v>
      </c>
      <c r="M26" s="8">
        <v>1</v>
      </c>
      <c r="N26" s="8"/>
      <c r="O26" s="214"/>
    </row>
    <row r="27" spans="1:15" x14ac:dyDescent="0.2">
      <c r="A27" s="207" t="s">
        <v>1918</v>
      </c>
      <c r="B27" s="217">
        <f>(B24-B26)/B24</f>
        <v>0.98648648648648651</v>
      </c>
      <c r="C27" s="94">
        <f t="shared" ref="C27:F27" si="6">(C24-C26)/C24</f>
        <v>0.94736842105263153</v>
      </c>
      <c r="D27" s="94">
        <f t="shared" si="6"/>
        <v>0.90666666666666662</v>
      </c>
      <c r="E27" s="95">
        <f t="shared" si="6"/>
        <v>0.98717948717948723</v>
      </c>
      <c r="F27" s="227">
        <f t="shared" si="6"/>
        <v>0.98412698412698407</v>
      </c>
      <c r="G27" s="217">
        <f t="shared" ref="G27:O27" si="7">(G24-G26)/G24</f>
        <v>0.98701298701298701</v>
      </c>
      <c r="H27" s="94">
        <f t="shared" si="7"/>
        <v>0.97435897435897434</v>
      </c>
      <c r="I27" s="94">
        <f t="shared" si="7"/>
        <v>0.97468354430379744</v>
      </c>
      <c r="J27" s="228">
        <f t="shared" si="7"/>
        <v>1</v>
      </c>
      <c r="K27" s="215">
        <f t="shared" si="7"/>
        <v>0.93333333333333335</v>
      </c>
      <c r="L27" s="95">
        <f t="shared" si="7"/>
        <v>0.98765432098765427</v>
      </c>
      <c r="M27" s="94">
        <f t="shared" si="7"/>
        <v>0.98484848484848486</v>
      </c>
      <c r="N27" s="94" t="e">
        <f t="shared" si="7"/>
        <v>#DIV/0!</v>
      </c>
      <c r="O27" s="216" t="e">
        <f t="shared" si="7"/>
        <v>#DIV/0!</v>
      </c>
    </row>
    <row r="28" spans="1:15" x14ac:dyDescent="0.2">
      <c r="A28" s="207"/>
      <c r="B28" s="213"/>
      <c r="C28" s="8"/>
      <c r="D28" s="8"/>
      <c r="E28" s="8"/>
      <c r="F28" s="196"/>
      <c r="G28" s="213"/>
      <c r="H28" s="8"/>
      <c r="I28" s="8"/>
      <c r="J28" s="196"/>
      <c r="K28" s="213"/>
      <c r="L28" s="8"/>
      <c r="M28" s="8"/>
      <c r="N28" s="8"/>
      <c r="O28" s="214"/>
    </row>
    <row r="29" spans="1:15" x14ac:dyDescent="0.2">
      <c r="A29" s="206" t="s">
        <v>1922</v>
      </c>
      <c r="B29" s="213"/>
      <c r="C29" s="8"/>
      <c r="D29" s="8"/>
      <c r="E29" s="8"/>
      <c r="F29" s="196"/>
      <c r="G29" s="213"/>
      <c r="H29" s="8"/>
      <c r="I29" s="8"/>
      <c r="J29" s="196"/>
      <c r="K29" s="213"/>
      <c r="L29" s="8"/>
      <c r="M29" s="8"/>
      <c r="N29" s="8"/>
      <c r="O29" s="214"/>
    </row>
    <row r="30" spans="1:15" x14ac:dyDescent="0.2">
      <c r="A30" s="207" t="s">
        <v>1915</v>
      </c>
      <c r="B30" s="213">
        <v>35</v>
      </c>
      <c r="C30" s="8">
        <v>35</v>
      </c>
      <c r="D30" s="8">
        <v>35</v>
      </c>
      <c r="E30" s="8">
        <v>35</v>
      </c>
      <c r="F30" s="196">
        <v>28</v>
      </c>
      <c r="G30" s="213">
        <v>34</v>
      </c>
      <c r="H30" s="8">
        <v>34</v>
      </c>
      <c r="I30" s="8">
        <v>35</v>
      </c>
      <c r="J30" s="196">
        <v>21</v>
      </c>
      <c r="K30" s="213">
        <v>20</v>
      </c>
      <c r="L30" s="8">
        <v>35</v>
      </c>
      <c r="M30" s="8">
        <v>28</v>
      </c>
      <c r="N30" s="8"/>
      <c r="O30" s="214"/>
    </row>
    <row r="31" spans="1:15" x14ac:dyDescent="0.2">
      <c r="A31" s="207" t="s">
        <v>1916</v>
      </c>
      <c r="B31" s="213">
        <v>35</v>
      </c>
      <c r="C31" s="8">
        <v>35</v>
      </c>
      <c r="D31" s="8">
        <v>35</v>
      </c>
      <c r="E31" s="8">
        <v>35</v>
      </c>
      <c r="F31" s="196">
        <v>28</v>
      </c>
      <c r="G31" s="213">
        <v>34</v>
      </c>
      <c r="H31" s="8">
        <v>34</v>
      </c>
      <c r="I31" s="8">
        <v>35</v>
      </c>
      <c r="J31" s="196">
        <v>21</v>
      </c>
      <c r="K31" s="213">
        <v>20</v>
      </c>
      <c r="L31" s="8">
        <v>35</v>
      </c>
      <c r="M31" s="8">
        <v>28</v>
      </c>
      <c r="N31" s="8"/>
      <c r="O31" s="214"/>
    </row>
    <row r="32" spans="1:15" x14ac:dyDescent="0.2">
      <c r="A32" s="207" t="s">
        <v>1917</v>
      </c>
      <c r="B32" s="213">
        <v>0</v>
      </c>
      <c r="C32" s="8">
        <v>0</v>
      </c>
      <c r="D32" s="8">
        <v>0</v>
      </c>
      <c r="E32" s="8">
        <v>0</v>
      </c>
      <c r="F32" s="196">
        <v>0</v>
      </c>
      <c r="G32" s="213">
        <v>0</v>
      </c>
      <c r="H32" s="8">
        <v>0</v>
      </c>
      <c r="I32" s="8">
        <v>0</v>
      </c>
      <c r="J32" s="196">
        <v>0</v>
      </c>
      <c r="K32" s="213">
        <v>0</v>
      </c>
      <c r="L32" s="8">
        <v>0</v>
      </c>
      <c r="M32" s="8">
        <v>0</v>
      </c>
      <c r="N32" s="8"/>
      <c r="O32" s="214"/>
    </row>
    <row r="33" spans="1:15" x14ac:dyDescent="0.2">
      <c r="A33" s="207" t="s">
        <v>1918</v>
      </c>
      <c r="B33" s="217">
        <f>(B30-B32)/B30</f>
        <v>1</v>
      </c>
      <c r="C33" s="95">
        <f t="shared" ref="C33:F33" si="8">(C30-C32)/C30</f>
        <v>1</v>
      </c>
      <c r="D33" s="95">
        <f t="shared" si="8"/>
        <v>1</v>
      </c>
      <c r="E33" s="95">
        <f t="shared" si="8"/>
        <v>1</v>
      </c>
      <c r="F33" s="228">
        <f t="shared" si="8"/>
        <v>1</v>
      </c>
      <c r="G33" s="217">
        <f t="shared" ref="G33:O33" si="9">(G30-G32)/G30</f>
        <v>1</v>
      </c>
      <c r="H33" s="95">
        <f t="shared" si="9"/>
        <v>1</v>
      </c>
      <c r="I33" s="95">
        <f t="shared" si="9"/>
        <v>1</v>
      </c>
      <c r="J33" s="228">
        <f t="shared" si="9"/>
        <v>1</v>
      </c>
      <c r="K33" s="234">
        <f t="shared" si="9"/>
        <v>1</v>
      </c>
      <c r="L33" s="95">
        <f t="shared" si="9"/>
        <v>1</v>
      </c>
      <c r="M33" s="95">
        <f t="shared" si="9"/>
        <v>1</v>
      </c>
      <c r="N33" s="94" t="e">
        <f t="shared" si="9"/>
        <v>#DIV/0!</v>
      </c>
      <c r="O33" s="216" t="e">
        <f t="shared" si="9"/>
        <v>#DIV/0!</v>
      </c>
    </row>
    <row r="34" spans="1:15" x14ac:dyDescent="0.2">
      <c r="A34" s="207"/>
      <c r="B34" s="213"/>
      <c r="C34" s="8"/>
      <c r="D34" s="8"/>
      <c r="E34" s="8"/>
      <c r="F34" s="196"/>
      <c r="G34" s="213"/>
      <c r="H34" s="8"/>
      <c r="I34" s="8"/>
      <c r="J34" s="196"/>
      <c r="K34" s="213"/>
      <c r="L34" s="8"/>
      <c r="M34" s="8"/>
      <c r="N34" s="8"/>
      <c r="O34" s="214"/>
    </row>
    <row r="35" spans="1:15" x14ac:dyDescent="0.2">
      <c r="A35" s="208" t="s">
        <v>1923</v>
      </c>
      <c r="B35" s="218">
        <f>B6+B18+B24+B30+B12</f>
        <v>174</v>
      </c>
      <c r="C35" s="78">
        <f t="shared" ref="C35:E35" si="10">C6+C18+C24+C30+C12</f>
        <v>174</v>
      </c>
      <c r="D35" s="78">
        <f t="shared" si="10"/>
        <v>180</v>
      </c>
      <c r="E35" s="78">
        <f t="shared" si="10"/>
        <v>182</v>
      </c>
      <c r="F35" s="197">
        <f t="shared" ref="F35:O35" si="11">F6+F18+F24+F30+F12</f>
        <v>146</v>
      </c>
      <c r="G35" s="218">
        <f t="shared" si="11"/>
        <v>181</v>
      </c>
      <c r="H35" s="78">
        <f t="shared" si="11"/>
        <v>181</v>
      </c>
      <c r="I35" s="78">
        <f t="shared" si="11"/>
        <v>185</v>
      </c>
      <c r="J35" s="197">
        <f t="shared" si="11"/>
        <v>122</v>
      </c>
      <c r="K35" s="218">
        <f t="shared" si="11"/>
        <v>113</v>
      </c>
      <c r="L35" s="78">
        <f t="shared" si="11"/>
        <v>185</v>
      </c>
      <c r="M35" s="78">
        <f t="shared" si="11"/>
        <v>147</v>
      </c>
      <c r="N35" s="78">
        <f t="shared" si="11"/>
        <v>0</v>
      </c>
      <c r="O35" s="219">
        <f t="shared" si="11"/>
        <v>0</v>
      </c>
    </row>
    <row r="36" spans="1:15" x14ac:dyDescent="0.2">
      <c r="A36" s="208" t="s">
        <v>1924</v>
      </c>
      <c r="B36" s="220">
        <f>B8+B20+B26+B32+B14</f>
        <v>6</v>
      </c>
      <c r="C36" s="97">
        <f t="shared" ref="C36:F36" si="12">C8+C20+C26+C32+C14</f>
        <v>19</v>
      </c>
      <c r="D36" s="97">
        <f t="shared" si="12"/>
        <v>19</v>
      </c>
      <c r="E36" s="97">
        <f t="shared" si="12"/>
        <v>14</v>
      </c>
      <c r="F36" s="229">
        <f t="shared" si="12"/>
        <v>17</v>
      </c>
      <c r="G36" s="220">
        <f t="shared" ref="G36:O36" si="13">G8+G20+G26+G32+G14</f>
        <v>11</v>
      </c>
      <c r="H36" s="97">
        <f t="shared" si="13"/>
        <v>13</v>
      </c>
      <c r="I36" s="97">
        <f t="shared" si="13"/>
        <v>12</v>
      </c>
      <c r="J36" s="229">
        <f t="shared" si="13"/>
        <v>9</v>
      </c>
      <c r="K36" s="220">
        <f t="shared" si="13"/>
        <v>12</v>
      </c>
      <c r="L36" s="97">
        <f t="shared" si="13"/>
        <v>11</v>
      </c>
      <c r="M36" s="97">
        <f t="shared" si="13"/>
        <v>6</v>
      </c>
      <c r="N36" s="97">
        <f t="shared" si="13"/>
        <v>0</v>
      </c>
      <c r="O36" s="221">
        <f t="shared" si="13"/>
        <v>0</v>
      </c>
    </row>
    <row r="37" spans="1:15" ht="15.75" thickBot="1" x14ac:dyDescent="0.25">
      <c r="A37" s="208" t="s">
        <v>1925</v>
      </c>
      <c r="B37" s="222">
        <f>(B35-B36)/B35</f>
        <v>0.96551724137931039</v>
      </c>
      <c r="C37" s="223">
        <f t="shared" ref="C37:F37" si="14">(C35-C36)/C35</f>
        <v>0.89080459770114939</v>
      </c>
      <c r="D37" s="223">
        <f t="shared" si="14"/>
        <v>0.89444444444444449</v>
      </c>
      <c r="E37" s="223">
        <f t="shared" si="14"/>
        <v>0.92307692307692313</v>
      </c>
      <c r="F37" s="230">
        <f t="shared" si="14"/>
        <v>0.88356164383561642</v>
      </c>
      <c r="G37" s="222">
        <f t="shared" ref="G37:O37" si="15">(G35-G36)/G35</f>
        <v>0.93922651933701662</v>
      </c>
      <c r="H37" s="223">
        <f t="shared" si="15"/>
        <v>0.92817679558011046</v>
      </c>
      <c r="I37" s="223">
        <f t="shared" si="15"/>
        <v>0.93513513513513513</v>
      </c>
      <c r="J37" s="230">
        <f t="shared" si="15"/>
        <v>0.92622950819672134</v>
      </c>
      <c r="K37" s="233">
        <f>(K35-K36)/K35</f>
        <v>0.89380530973451322</v>
      </c>
      <c r="L37" s="230">
        <f t="shared" si="15"/>
        <v>0.94054054054054059</v>
      </c>
      <c r="M37" s="230">
        <f t="shared" si="15"/>
        <v>0.95918367346938771</v>
      </c>
      <c r="N37" s="230" t="e">
        <f t="shared" si="15"/>
        <v>#DIV/0!</v>
      </c>
      <c r="O37" s="224" t="e">
        <f t="shared" si="15"/>
        <v>#DIV/0!</v>
      </c>
    </row>
  </sheetData>
  <mergeCells count="3">
    <mergeCell ref="B3:F3"/>
    <mergeCell ref="G3:J3"/>
    <mergeCell ref="K3:O3"/>
  </mergeCells>
  <phoneticPr fontId="6" type="noConversion"/>
  <conditionalFormatting sqref="K21">
    <cfRule type="cellIs" dxfId="2" priority="2" operator="greaterThan">
      <formula>0.985</formula>
    </cfRule>
  </conditionalFormatting>
  <conditionalFormatting sqref="N9:O9">
    <cfRule type="cellIs" dxfId="1" priority="35" operator="greaterThan">
      <formula>0.985</formula>
    </cfRule>
    <cfRule type="cellIs" dxfId="0" priority="36" operator="lessThan">
      <formula>0.985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D98E5BFC7254BACAF3C3C64B7EC67" ma:contentTypeVersion="27" ma:contentTypeDescription="Create a new document." ma:contentTypeScope="" ma:versionID="1a25ed95f857a8941603c81d2ab1b984">
  <xsd:schema xmlns:xsd="http://www.w3.org/2001/XMLSchema" xmlns:xs="http://www.w3.org/2001/XMLSchema" xmlns:p="http://schemas.microsoft.com/office/2006/metadata/properties" xmlns:ns2="3103d38d-e9fa-4c85-b7e4-005cce7a2616" xmlns:ns3="00610a66-9d68-4843-a496-8acd1b848daf" targetNamespace="http://schemas.microsoft.com/office/2006/metadata/properties" ma:root="true" ma:fieldsID="9650732b20a49555297d9dc894e4651f" ns2:_="" ns3:_="">
    <xsd:import namespace="3103d38d-e9fa-4c85-b7e4-005cce7a2616"/>
    <xsd:import namespace="00610a66-9d68-4843-a496-8acd1b848daf"/>
    <xsd:element name="properties">
      <xsd:complexType>
        <xsd:sequence>
          <xsd:element name="documentManagement">
            <xsd:complexType>
              <xsd:all>
                <xsd:element ref="ns2:p86ca59aafe24f08b5ce1a70c5f51557" minOccurs="0"/>
                <xsd:element ref="ns3:TaxCatchAll" minOccurs="0"/>
                <xsd:element ref="ns2:n7b40b455fcb4389a6dfcdd5f9d07f80" minOccurs="0"/>
                <xsd:element ref="ns2:CollectionDate" minOccurs="0"/>
                <xsd:element ref="ns2:Delivery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  <xsd:element ref="ns2:PASSPTPKLIA" minOccurs="0"/>
                <xsd:element ref="ns2:PASSPTPKLI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3d38d-e9fa-4c85-b7e4-005cce7a2616" elementFormDefault="qualified">
    <xsd:import namespace="http://schemas.microsoft.com/office/2006/documentManagement/types"/>
    <xsd:import namespace="http://schemas.microsoft.com/office/infopath/2007/PartnerControls"/>
    <xsd:element name="p86ca59aafe24f08b5ce1a70c5f51557" ma:index="9" nillable="true" ma:taxonomy="true" ma:internalName="p86ca59aafe24f08b5ce1a70c5f51557" ma:taxonomyFieldName="Customer" ma:displayName="Customer" ma:default="" ma:fieldId="{986ca59a-afe2-4f08-b5ce-1a70c5f51557}" ma:taxonomyMulti="true" ma:sspId="4987439a-3ea4-47c2-9728-304917dfe253" ma:termSetId="5a20aac5-d358-4c2a-80d8-0cd5b9b8e6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b40b455fcb4389a6dfcdd5f9d07f80" ma:index="12" nillable="true" ma:taxonomy="true" ma:internalName="n7b40b455fcb4389a6dfcdd5f9d07f80" ma:taxonomyFieldName="Doc_x0020_Type" ma:displayName="Doc Type" ma:default="" ma:fieldId="{77b40b45-5fcb-4389-a6df-cdd5f9d07f80}" ma:sspId="4987439a-3ea4-47c2-9728-304917dfe253" ma:termSetId="9fd7aa65-beba-4690-8506-68a21e5214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llectionDate" ma:index="13" nillable="true" ma:displayName="Collection Date" ma:format="DateOnly" ma:internalName="CollectionDate">
      <xsd:simpleType>
        <xsd:restriction base="dms:DateTime"/>
      </xsd:simpleType>
    </xsd:element>
    <xsd:element name="DeliveryDate" ma:index="14" nillable="true" ma:displayName="Delivery Date" ma:format="DateOnly" ma:internalName="DeliveryDate">
      <xsd:simpleType>
        <xsd:restriction base="dms:DateTime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4987439a-3ea4-47c2-9728-304917dfe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2" nillable="true" ma:displayName="Sign-off status" ma:internalName="_x0024_Resources_x003a_core_x002c_Signoff_Status">
      <xsd:simpleType>
        <xsd:restriction base="dms:Text"/>
      </xsd:simpleType>
    </xsd:element>
    <xsd:element name="PASSPTPKLIA" ma:index="33" nillable="true" ma:displayName="PASS PTP &amp; KLIA" ma:format="Dropdown" ma:internalName="PASSPTPKLIA">
      <xsd:simpleType>
        <xsd:restriction base="dms:Text">
          <xsd:maxLength value="255"/>
        </xsd:restriction>
      </xsd:simpleType>
    </xsd:element>
    <xsd:element name="PASSPTPKLIA0" ma:index="34" nillable="true" ma:displayName="PASS PTP &amp; KLIA " ma:format="Dropdown" ma:internalName="PASSPTPKLIA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10a66-9d68-4843-a496-8acd1b848da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5e41302-a49e-4c35-b2f6-799ff9359968}" ma:internalName="TaxCatchAll" ma:showField="CatchAllData" ma:web="00610a66-9d68-4843-a496-8acd1b848d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3d38d-e9fa-4c85-b7e4-005cce7a2616">
      <Terms xmlns="http://schemas.microsoft.com/office/infopath/2007/PartnerControls"/>
    </lcf76f155ced4ddcb4097134ff3c332f>
    <p86ca59aafe24f08b5ce1a70c5f51557 xmlns="3103d38d-e9fa-4c85-b7e4-005cce7a2616">
      <Terms xmlns="http://schemas.microsoft.com/office/infopath/2007/PartnerControls"/>
    </p86ca59aafe24f08b5ce1a70c5f51557>
    <TaxCatchAll xmlns="00610a66-9d68-4843-a496-8acd1b848daf" xsi:nil="true"/>
    <PASSPTPKLIA xmlns="3103d38d-e9fa-4c85-b7e4-005cce7a2616" xsi:nil="true"/>
    <DeliveryDate xmlns="3103d38d-e9fa-4c85-b7e4-005cce7a2616" xsi:nil="true"/>
    <n7b40b455fcb4389a6dfcdd5f9d07f80 xmlns="3103d38d-e9fa-4c85-b7e4-005cce7a2616">
      <Terms xmlns="http://schemas.microsoft.com/office/infopath/2007/PartnerControls"/>
    </n7b40b455fcb4389a6dfcdd5f9d07f80>
    <PASSPTPKLIA0 xmlns="3103d38d-e9fa-4c85-b7e4-005cce7a2616" xsi:nil="true"/>
    <CollectionDate xmlns="3103d38d-e9fa-4c85-b7e4-005cce7a2616" xsi:nil="true"/>
    <_Flow_SignoffStatus xmlns="3103d38d-e9fa-4c85-b7e4-005cce7a2616" xsi:nil="true"/>
  </documentManagement>
</p:properties>
</file>

<file path=customXml/itemProps1.xml><?xml version="1.0" encoding="utf-8"?>
<ds:datastoreItem xmlns:ds="http://schemas.openxmlformats.org/officeDocument/2006/customXml" ds:itemID="{BBA73C29-F217-4D97-8341-B33AE668B1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D84096-1387-4DD8-863E-13C7A0041CD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103d38d-e9fa-4c85-b7e4-005cce7a2616"/>
    <ds:schemaRef ds:uri="00610a66-9d68-4843-a496-8acd1b848daf"/>
  </ds:schemaRefs>
</ds:datastoreItem>
</file>

<file path=customXml/itemProps3.xml><?xml version="1.0" encoding="utf-8"?>
<ds:datastoreItem xmlns:ds="http://schemas.openxmlformats.org/officeDocument/2006/customXml" ds:itemID="{836172E3-81FF-4F12-A2A2-0C3E1EE7C9AB}">
  <ds:schemaRefs>
    <ds:schemaRef ds:uri="http://schemas.microsoft.com/office/2006/metadata/properties"/>
    <ds:schemaRef ds:uri="http://www.w3.org/2000/xmlns/"/>
    <ds:schemaRef ds:uri="3103d38d-e9fa-4c85-b7e4-005cce7a2616"/>
    <ds:schemaRef ds:uri="http://schemas.microsoft.com/office/infopath/2007/PartnerControls"/>
    <ds:schemaRef ds:uri="00610a66-9d68-4843-a496-8acd1b848daf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On Deck Timings</vt:lpstr>
      <vt:lpstr>CW14</vt:lpstr>
      <vt:lpstr>On Deck Timings (CW 15)</vt:lpstr>
      <vt:lpstr>CW 15</vt:lpstr>
      <vt:lpstr>On Deck Timings (CW 16)</vt:lpstr>
      <vt:lpstr>CW 16</vt:lpstr>
      <vt:lpstr>On Deck Timings (CW 17)</vt:lpstr>
      <vt:lpstr>CW 17</vt:lpstr>
      <vt:lpstr>On Deck Timings (CW 18)</vt:lpstr>
      <vt:lpstr>CW 18</vt:lpstr>
      <vt:lpstr>On Deck Timings (CW 19)</vt:lpstr>
      <vt:lpstr>CW 19</vt:lpstr>
      <vt:lpstr>On Deck Timings (CW 20)</vt:lpstr>
      <vt:lpstr>CW 20</vt:lpstr>
      <vt:lpstr>On Deck Timings (CW 21)</vt:lpstr>
      <vt:lpstr>CW 21</vt:lpstr>
      <vt:lpstr>On Deck Timings (CW 22)</vt:lpstr>
      <vt:lpstr>CW 22</vt:lpstr>
      <vt:lpstr>On Deck Timings (CW 23)</vt:lpstr>
      <vt:lpstr>CW 23</vt:lpstr>
      <vt:lpstr>On Deck Timings (CW 24)</vt:lpstr>
      <vt:lpstr>CW 24</vt:lpstr>
      <vt:lpstr>On Deck Timings (CW 25)</vt:lpstr>
      <vt:lpstr>CW 25</vt:lpstr>
      <vt:lpstr>On Deck Timings (CW 26)</vt:lpstr>
      <vt:lpstr>CW 26</vt:lpstr>
      <vt:lpstr>HUHaul Scanner's Update</vt:lpstr>
      <vt:lpstr>KPI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A. Rahim</dc:creator>
  <cp:keywords/>
  <dc:description/>
  <cp:lastModifiedBy>Muhammad Mustaqim Mohamad Hatta</cp:lastModifiedBy>
  <cp:revision/>
  <dcterms:created xsi:type="dcterms:W3CDTF">2026-04-06T02:18:47Z</dcterms:created>
  <dcterms:modified xsi:type="dcterms:W3CDTF">2026-06-26T09:52:48Z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0x0101003FFD98E5BFC7254BACAF3C3C64B7EC67</vt:lpwstr>
  </property>
  <property fmtid="{D5CDD505-2E9C-101B-9397-08002B2CF9AE}" pid="3" name="MediaServiceImageTags">
    <vt:lpwstr/>
  </property>
  <property fmtid="{D5CDD505-2E9C-101B-9397-08002B2CF9AE}" pid="4" name="Doc_x0020_Type">
    <vt:lpwstr/>
  </property>
  <property fmtid="{D5CDD505-2E9C-101B-9397-08002B2CF9AE}" pid="5" name="Customer">
    <vt:lpwstr/>
  </property>
  <property fmtid="{D5CDD505-2E9C-101B-9397-08002B2CF9AE}" pid="6" name="Doc Type">
    <vt:lpwstr/>
  </property>
</Properties>
</file>